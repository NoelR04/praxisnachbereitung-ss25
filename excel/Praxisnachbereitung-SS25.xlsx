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rabenschlag/Desktop/praxisnachbereitung-ss25/excel/"/>
    </mc:Choice>
  </mc:AlternateContent>
  <xr:revisionPtr revIDLastSave="0" documentId="13_ncr:1_{101D802C-8FBC-3F4F-B24E-B0E433CE2671}" xr6:coauthVersionLast="47" xr6:coauthVersionMax="47" xr10:uidLastSave="{00000000-0000-0000-0000-000000000000}"/>
  <bookViews>
    <workbookView xWindow="220" yWindow="660" windowWidth="29400" windowHeight="16760" activeTab="3" xr2:uid="{6A8FE1CE-64E8-0943-B336-CBBA9009EA98}"/>
  </bookViews>
  <sheets>
    <sheet name="Ausleihen" sheetId="7" r:id="rId1"/>
    <sheet name="Geraete" sheetId="3" r:id="rId2"/>
    <sheet name="Mitarbeiter" sheetId="4" r:id="rId3"/>
    <sheet name="PivotTable" sheetId="9" r:id="rId4"/>
    <sheet name="Gesamt" sheetId="8" r:id="rId5"/>
  </sheets>
  <definedNames>
    <definedName name="ExterneDaten_1" localSheetId="0" hidden="1">Ausleihen!$A$1:$D$46</definedName>
    <definedName name="ExterneDaten_1" localSheetId="1" hidden="1">Geraete!$A$1:$F$36</definedName>
    <definedName name="ExterneDaten_1" localSheetId="4" hidden="1">Gesamt!$A$1:$D$46</definedName>
    <definedName name="ExterneDaten_1" localSheetId="2" hidden="1">Mitarbeiter!$A$1:$D$13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8" l="1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G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52198-67C6-B544-A96B-A79D32ECDBF4}" keepAlive="1" name="Abfrage - Ausleihen" description="Verbindung mit der Abfrage 'Ausleihen' in der Arbeitsmappe." type="5" refreshedVersion="0" background="1" saveData="1">
    <dbPr connection="Provider=Microsoft.Mashup.OleDb.1;Data Source=$Workbook$;Location=Ausleihen;Extended Properties=&quot;&quot;" command="SELECT * FROM [Ausleihen]"/>
  </connection>
  <connection id="2" xr16:uid="{C29B7559-02E1-5E43-9E1E-297073358FF2}" keepAlive="1" name="Abfrage - Ausleihen (2)" description="Verbindung mit der Abfrage 'Ausleihen (2)' in der Arbeitsmappe." type="5" refreshedVersion="0" background="1" saveData="1">
    <dbPr connection="Provider=Microsoft.Mashup.OleDb.1;Data Source=$Workbook$;Location=&quot;Ausleihen (2)&quot;;Extended Properties=&quot;&quot;" command="SELECT * FROM [Ausleihen (2)]"/>
  </connection>
  <connection id="3" xr16:uid="{2D86EE97-2A6D-7A45-9AC3-4572F3806945}" keepAlive="1" name="Abfrage - Ausleihen (3)" description="Verbindung mit der Abfrage 'Ausleihen (3)' in der Arbeitsmappe." type="5" refreshedVersion="8" background="1" saveData="1">
    <dbPr connection="Provider=Microsoft.Mashup.OleDb.1;Data Source=$Workbook$;Location=&quot;Ausleihen (3)&quot;;Extended Properties=&quot;&quot;" command="SELECT * FROM [Ausleihen (3)]"/>
  </connection>
  <connection id="4" xr16:uid="{1CD00FFA-E8A4-C84C-8654-E62F91957C1F}" keepAlive="1" name="Abfrage - Ausleihen (4)" description="Verbindung mit der Abfrage 'Ausleihen (4)' in der Arbeitsmappe." type="5" refreshedVersion="8" background="1" saveData="1">
    <dbPr connection="Provider=Microsoft.Mashup.OleDb.1;Data Source=$Workbook$;Location=&quot;Ausleihen (4)&quot;;Extended Properties=&quot;&quot;" command="SELECT * FROM [Ausleihen (4)]"/>
  </connection>
  <connection id="5" xr16:uid="{52F1BA12-4281-904C-A4CD-7945E4479390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6" xr16:uid="{76734734-2C0D-354A-B1AE-098660F73995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<sst xmlns="http://schemas.openxmlformats.org/spreadsheetml/2006/main" count="318" uniqueCount="103">
  <si>
    <t>Gerätenummer</t>
  </si>
  <si>
    <t>Mitarbeiter-ID</t>
  </si>
  <si>
    <t>Ausgabe am</t>
  </si>
  <si>
    <t>Rückgabe am</t>
  </si>
  <si>
    <t>G0035</t>
  </si>
  <si>
    <t>1009</t>
  </si>
  <si>
    <t>G0021</t>
  </si>
  <si>
    <t>1008</t>
  </si>
  <si>
    <t>G0024</t>
  </si>
  <si>
    <t>1005</t>
  </si>
  <si>
    <t>G0016</t>
  </si>
  <si>
    <t>1010</t>
  </si>
  <si>
    <t>G0006</t>
  </si>
  <si>
    <t>1012</t>
  </si>
  <si>
    <t>G0005</t>
  </si>
  <si>
    <t>G0009</t>
  </si>
  <si>
    <t>1011</t>
  </si>
  <si>
    <t>G0011</t>
  </si>
  <si>
    <t>G0028</t>
  </si>
  <si>
    <t>1004</t>
  </si>
  <si>
    <t>G0013</t>
  </si>
  <si>
    <t>G0029</t>
  </si>
  <si>
    <t>1002</t>
  </si>
  <si>
    <t>1006</t>
  </si>
  <si>
    <t>G0015</t>
  </si>
  <si>
    <t>G0022</t>
  </si>
  <si>
    <t>G0018</t>
  </si>
  <si>
    <t>1003</t>
  </si>
  <si>
    <t>G0031</t>
  </si>
  <si>
    <t>G0027</t>
  </si>
  <si>
    <t>G0030</t>
  </si>
  <si>
    <t>G0007</t>
  </si>
  <si>
    <t>1001</t>
  </si>
  <si>
    <t>G0004</t>
  </si>
  <si>
    <t>G0025</t>
  </si>
  <si>
    <t>G0032</t>
  </si>
  <si>
    <t>G0014</t>
  </si>
  <si>
    <t>G0033</t>
  </si>
  <si>
    <t>1007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</si>
  <si>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</si>
  <si>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</si>
  <si>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</si>
  <si>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</si>
  <si>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</si>
  <si>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</si>
  <si>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</si>
  <si>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</si>
  <si>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</si>
  <si>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</si>
  <si>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</si>
  <si>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</si>
  <si>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</si>
  <si>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</si>
  <si>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</si>
  <si>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</si>
  <si>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</si>
  <si>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</si>
  <si>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</si>
  <si>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</si>
  <si>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</si>
  <si>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</si>
  <si>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</si>
  <si>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</si>
  <si>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</si>
  <si>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</si>
  <si>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</si>
  <si>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</si>
  <si>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</si>
  <si>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</si>
  <si>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</si>
  <si>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</si>
  <si>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</si>
  <si>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</si>
  <si>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</si>
  <si>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</si>
  <si>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</si>
  <si>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</si>
  <si>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</si>
  <si>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</si>
  <si>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</si>
  <si>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</si>
  <si>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</si>
  <si>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</si>
  <si>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</si>
  <si>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</si>
  <si>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</si>
  <si>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</si>
  <si>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</si>
  <si>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</si>
  <si>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</si>
  <si>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</si>
  <si>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</si>
  <si>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</si>
  <si>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</si>
  <si>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</si>
  <si>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</si>
  <si>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</si>
  <si>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</si>
  <si>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Standort2</t>
  </si>
  <si>
    <t>Zeilenbeschriftungen</t>
  </si>
  <si>
    <t>Gesamtergebnis</t>
  </si>
  <si>
    <t>Anzahl von Gerätenummer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</si>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</sst>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1" fontId="0" fillId="0" borderId="0" xfId="0" applyNumberFormat="1"/>
    <xf numFmtId="0" fontId="0" fillId="5" borderId="0" xfId="0" applyFill="1"/>
    <xf numFmtId="0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" formatCode="0"/>
    </dxf>
    <dxf>
      <numFmt numFmtId="0" formatCode="General"/>
    </dxf>
    <dxf>
      <numFmt numFmtId="1" formatCode="0"/>
    </dxf>
    <dxf>
      <numFmt numFmtId="19" formatCode="dd/mm/yy"/>
    </dxf>
    <dxf>
      <numFmt numFmtId="0" formatCode="General"/>
    </dxf>
    <dxf>
      <numFmt numFmtId="2" formatCode="0.00"/>
    </dxf>
    <dxf>
      <numFmt numFmtId="0" formatCode="General"/>
    </dxf>
    <dxf>
      <numFmt numFmtId="164" formatCode="#,##0.00\ &quot;€&quot;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[Praxisnachbereitung-SS25.xlsx]PivotTable!PivotTable1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PivotTable!$B$5:$B$11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3-824C-A37F-ABBAB25EFBD3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PivotTable!$C$5:$C$11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3-824C-A37F-ABBAB25EFBD3}"/>
            </c:ext>
          </c:extLst>
        </c:ser>
        <c:ser>
          <c:idx val="2"/>
          <c:order val="2"/>
          <c:tx>
            <c:strRef>
              <c:f>PivotTable!$D$3:$D$4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PivotTable!$A$5:$A$11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PivotTable!$D$5:$D$11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3-824C-A37F-ABBAB25EF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0013247"/>
        <c:axId val="767058687"/>
      </c:barChart>
      <c:catAx>
        <c:axId val="3900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67058687"/>
        <c:crosses val="autoZero"/>
        <c:auto val="1"/>
        <c:lblAlgn val="ctr"/>
        <c:lblOffset val="100"/>
        <c:noMultiLvlLbl val="0"/>
      </c:catAx>
      <c:valAx>
        <c:axId val="76705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001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0</xdr:row>
      <xdr:rowOff>127000</xdr:rowOff>
    </xdr:from>
    <xdr:to>
      <xdr:col>11</xdr:col>
      <xdr:colOff>381000</xdr:colOff>
      <xdr:row>14</xdr:row>
      <xdr:rowOff>25400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4A9BCF2-58A2-21BB-AFB3-E5E6D227D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el Rabenschlag" refreshedDate="46102.604774652777" createdVersion="8" refreshedVersion="8" minRefreshableVersion="3" recordCount="45" xr:uid="{412A981F-D7B5-6348-8050-2037B1DBC46D}">
  <cacheSource type="worksheet">
    <worksheetSource name="Ausleihen__32"/>
  </cacheSource>
  <cacheFields count="12">
    <cacheField name="Gerätenummer" numFmtId="0">
      <sharedItems/>
    </cacheField>
    <cacheField name="Mitarbeiter-ID" numFmtId="1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/>
    </cacheField>
    <cacheField name="Gerätetyp" numFmtId="0">
      <sharedItems count="6">
        <s v="Beamer"/>
        <s v="Monitor"/>
        <s v="Drucker"/>
        <s v="Smartphone"/>
        <s v="Laptop"/>
        <s v="Tablet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/>
    </cacheField>
    <cacheField name="Netto-Kaufpreis" numFmtId="164">
      <sharedItems containsSemiMixedTypes="0" containsString="0" containsNumber="1" minValue="141.71" maxValue="1898.65"/>
    </cacheField>
    <cacheField name="Standort" numFmtId="0">
      <sharedItems count="3">
        <s v="Berlin"/>
        <s v="München"/>
        <s v="Hamburg"/>
      </sharedItems>
    </cacheField>
    <cacheField name="Name" numFmtId="0">
      <sharedItems/>
    </cacheField>
    <cacheField name="Abteilung" numFmtId="0">
      <sharedItems/>
    </cacheField>
    <cacheField name="Standort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G0035"/>
    <n v="1009"/>
    <d v="2024-05-09T00:00:00"/>
    <m/>
    <x v="0"/>
    <s v="BenQ MW550"/>
    <d v="2024-01-03T00:00:00"/>
    <n v="644.54"/>
    <x v="0"/>
    <s v="Univ.Prof. Heimo Karge"/>
    <s v="Marketing"/>
    <s v="Hamburg"/>
  </r>
  <r>
    <s v="G0021"/>
    <n v="1008"/>
    <d v="2025-09-30T00:00:00"/>
    <d v="2025-10-05T00:00:00"/>
    <x v="1"/>
    <s v="Samsung Curved"/>
    <d v="2023-02-22T00:00:00"/>
    <n v="1134.1600000000001"/>
    <x v="1"/>
    <s v="Dipl.-Ing. Klaus-Werner Holsten B.Sc."/>
    <s v="IT"/>
    <s v="Hamburg"/>
  </r>
  <r>
    <s v="G0024"/>
    <n v="1005"/>
    <d v="2025-03-27T00:00:00"/>
    <d v="2025-07-30T00:00:00"/>
    <x v="1"/>
    <s v="Dell UltraSharp"/>
    <d v="2022-03-01T00:00:00"/>
    <n v="750.91"/>
    <x v="0"/>
    <s v="Alexandre Davids"/>
    <s v="Vertrieb"/>
    <s v="Berlin"/>
  </r>
  <r>
    <s v="G0016"/>
    <n v="1010"/>
    <d v="2025-07-28T00:00:00"/>
    <m/>
    <x v="2"/>
    <s v="Canon Pixma"/>
    <d v="2023-03-30T00:00:00"/>
    <n v="1501.06"/>
    <x v="0"/>
    <s v="Carolin Hande"/>
    <s v="IT"/>
    <s v="Hamburg"/>
  </r>
  <r>
    <s v="G0006"/>
    <n v="1012"/>
    <d v="2025-05-31T00:00:00"/>
    <d v="2025-06-10T00:00:00"/>
    <x v="3"/>
    <s v="Samsung S21"/>
    <d v="2024-01-01T00:00:00"/>
    <n v="1257.96"/>
    <x v="1"/>
    <s v="Ariane Klemt-Kaul"/>
    <s v="IT"/>
    <s v="München"/>
  </r>
  <r>
    <s v="G0005"/>
    <n v="1009"/>
    <d v="2024-04-07T00:00:00"/>
    <m/>
    <x v="2"/>
    <s v="Canon Pixma"/>
    <d v="2021-11-03T00:00:00"/>
    <n v="823.23"/>
    <x v="0"/>
    <s v="Univ.Prof. Heimo Karge"/>
    <s v="Marketing"/>
    <s v="Hamburg"/>
  </r>
  <r>
    <s v="G0009"/>
    <n v="1011"/>
    <d v="2025-07-12T00:00:00"/>
    <d v="2025-07-15T00:00:00"/>
    <x v="4"/>
    <s v="Dell XPS"/>
    <d v="2023-04-10T00:00:00"/>
    <n v="1458.02"/>
    <x v="1"/>
    <s v="Auguste Davids"/>
    <s v="IT"/>
    <s v="Hamburg"/>
  </r>
  <r>
    <s v="G0011"/>
    <n v="1005"/>
    <d v="2025-06-29T00:00:00"/>
    <d v="2025-08-29T00:00:00"/>
    <x v="2"/>
    <s v="Brother HL"/>
    <d v="2025-09-09T00:00:00"/>
    <n v="141.71"/>
    <x v="1"/>
    <s v="Alexandre Davids"/>
    <s v="Vertrieb"/>
    <s v="Berlin"/>
  </r>
  <r>
    <s v="G0028"/>
    <n v="1004"/>
    <d v="2024-08-19T00:00:00"/>
    <m/>
    <x v="0"/>
    <s v="Epson EB"/>
    <d v="2023-01-19T00:00:00"/>
    <n v="1246.58"/>
    <x v="2"/>
    <s v="Klemens Löffler"/>
    <s v="Vertrieb"/>
    <s v="Hamburg"/>
  </r>
  <r>
    <s v="G0013"/>
    <n v="1012"/>
    <d v="2024-05-07T00:00:00"/>
    <d v="2024-06-27T00:00:00"/>
    <x v="2"/>
    <s v="Canon Pixma"/>
    <d v="2021-05-16T00:00:00"/>
    <n v="1898.65"/>
    <x v="2"/>
    <s v="Ariane Klemt-Kaul"/>
    <s v="IT"/>
    <s v="München"/>
  </r>
  <r>
    <s v="G0024"/>
    <n v="1008"/>
    <d v="2024-03-24T00:00:00"/>
    <m/>
    <x v="1"/>
    <s v="Dell UltraSharp"/>
    <d v="2022-03-01T00:00:00"/>
    <n v="750.91"/>
    <x v="0"/>
    <s v="Dipl.-Ing. Klaus-Werner Holsten B.Sc."/>
    <s v="IT"/>
    <s v="Hamburg"/>
  </r>
  <r>
    <s v="G0029"/>
    <n v="1002"/>
    <d v="2025-09-21T00:00:00"/>
    <d v="2025-10-04T00:00:00"/>
    <x v="4"/>
    <s v="Lenovo ThinkPad"/>
    <d v="2021-05-21T00:00:00"/>
    <n v="1553.15"/>
    <x v="2"/>
    <s v="Eleni Hauffer"/>
    <s v="IT"/>
    <s v="Berlin"/>
  </r>
  <r>
    <s v="G0005"/>
    <n v="1006"/>
    <d v="2025-08-23T00:00:00"/>
    <d v="2025-09-22T00:00:00"/>
    <x v="2"/>
    <s v="Canon Pixma"/>
    <d v="2021-11-03T00:00:00"/>
    <n v="823.23"/>
    <x v="0"/>
    <s v="Eric Patberg B.Sc."/>
    <s v="Vertrieb"/>
    <s v="Hamburg"/>
  </r>
  <r>
    <s v="G0015"/>
    <n v="1010"/>
    <d v="2024-03-26T00:00:00"/>
    <d v="2025-08-17T00:00:00"/>
    <x v="3"/>
    <s v="iPhone 13"/>
    <d v="2022-09-20T00:00:00"/>
    <n v="661.44"/>
    <x v="1"/>
    <s v="Carolin Hande"/>
    <s v="IT"/>
    <s v="Hamburg"/>
  </r>
  <r>
    <s v="G0005"/>
    <n v="1012"/>
    <d v="2024-11-03T00:00:00"/>
    <m/>
    <x v="2"/>
    <s v="Canon Pixma"/>
    <d v="2021-11-03T00:00:00"/>
    <n v="823.23"/>
    <x v="0"/>
    <s v="Ariane Klemt-Kaul"/>
    <s v="IT"/>
    <s v="München"/>
  </r>
  <r>
    <s v="G0015"/>
    <n v="1002"/>
    <d v="2024-08-15T00:00:00"/>
    <m/>
    <x v="3"/>
    <s v="iPhone 13"/>
    <d v="2022-09-20T00:00:00"/>
    <n v="661.44"/>
    <x v="1"/>
    <s v="Eleni Hauffer"/>
    <s v="IT"/>
    <s v="Berlin"/>
  </r>
  <r>
    <s v="G0022"/>
    <n v="1002"/>
    <d v="2025-08-30T00:00:00"/>
    <d v="2025-09-30T00:00:00"/>
    <x v="5"/>
    <s v="iPad"/>
    <d v="2024-08-20T00:00:00"/>
    <n v="1591.98"/>
    <x v="2"/>
    <s v="Eleni Hauffer"/>
    <s v="IT"/>
    <s v="Berlin"/>
  </r>
  <r>
    <s v="G0018"/>
    <n v="1011"/>
    <d v="2024-10-03T00:00:00"/>
    <d v="2024-11-27T00:00:00"/>
    <x v="5"/>
    <s v="iPad"/>
    <d v="2022-10-05T00:00:00"/>
    <n v="1688.07"/>
    <x v="1"/>
    <s v="Auguste Davids"/>
    <s v="IT"/>
    <s v="Hamburg"/>
  </r>
  <r>
    <s v="G0035"/>
    <n v="1003"/>
    <d v="2024-05-05T00:00:00"/>
    <m/>
    <x v="0"/>
    <s v="BenQ MW550"/>
    <d v="2024-01-03T00:00:00"/>
    <n v="644.54"/>
    <x v="0"/>
    <s v="Paul Dobes-Stiffel"/>
    <s v="Produktion"/>
    <s v="Hamburg"/>
  </r>
  <r>
    <s v="G0031"/>
    <n v="1004"/>
    <d v="2024-01-29T00:00:00"/>
    <m/>
    <x v="4"/>
    <s v="HP EliteBook"/>
    <d v="2025-04-28T00:00:00"/>
    <n v="1095.6199999999999"/>
    <x v="1"/>
    <s v="Klemens Löffler"/>
    <s v="Vertrieb"/>
    <s v="Hamburg"/>
  </r>
  <r>
    <s v="G0027"/>
    <n v="1004"/>
    <d v="2024-04-21T00:00:00"/>
    <d v="2025-07-01T00:00:00"/>
    <x v="1"/>
    <s v="Samsung Curved"/>
    <d v="2022-07-24T00:00:00"/>
    <n v="501.64"/>
    <x v="1"/>
    <s v="Klemens Löffler"/>
    <s v="Vertrieb"/>
    <s v="Hamburg"/>
  </r>
  <r>
    <s v="G0028"/>
    <n v="1006"/>
    <d v="2024-12-04T00:00:00"/>
    <d v="2025-03-16T00:00:00"/>
    <x v="0"/>
    <s v="Epson EB"/>
    <d v="2023-01-19T00:00:00"/>
    <n v="1246.58"/>
    <x v="2"/>
    <s v="Eric Patberg B.Sc."/>
    <s v="Vertrieb"/>
    <s v="Hamburg"/>
  </r>
  <r>
    <s v="G0030"/>
    <n v="1012"/>
    <d v="2025-05-15T00:00:00"/>
    <d v="2025-09-05T00:00:00"/>
    <x v="0"/>
    <s v="Epson EB"/>
    <d v="2022-03-27T00:00:00"/>
    <n v="1629.76"/>
    <x v="1"/>
    <s v="Ariane Klemt-Kaul"/>
    <s v="IT"/>
    <s v="München"/>
  </r>
  <r>
    <s v="G0007"/>
    <n v="1001"/>
    <d v="2024-09-09T00:00:00"/>
    <d v="2025-07-16T00:00:00"/>
    <x v="4"/>
    <s v="Lenovo ThinkPad"/>
    <d v="2021-06-13T00:00:00"/>
    <n v="869.09"/>
    <x v="2"/>
    <s v="Aleksandr Weinhage"/>
    <s v="IT"/>
    <s v="Berlin"/>
  </r>
  <r>
    <s v="G0022"/>
    <n v="1002"/>
    <d v="2024-07-20T00:00:00"/>
    <d v="2025-01-06T00:00:00"/>
    <x v="5"/>
    <s v="iPad"/>
    <d v="2024-08-20T00:00:00"/>
    <n v="1591.98"/>
    <x v="2"/>
    <s v="Eleni Hauffer"/>
    <s v="IT"/>
    <s v="Berlin"/>
  </r>
  <r>
    <s v="G0013"/>
    <n v="1009"/>
    <d v="2024-01-28T00:00:00"/>
    <d v="2025-02-26T00:00:00"/>
    <x v="2"/>
    <s v="Canon Pixma"/>
    <d v="2021-05-16T00:00:00"/>
    <n v="1898.65"/>
    <x v="2"/>
    <s v="Univ.Prof. Heimo Karge"/>
    <s v="Marketing"/>
    <s v="Hamburg"/>
  </r>
  <r>
    <s v="G0028"/>
    <n v="1003"/>
    <d v="2024-10-30T00:00:00"/>
    <d v="2024-12-04T00:00:00"/>
    <x v="0"/>
    <s v="Epson EB"/>
    <d v="2023-01-19T00:00:00"/>
    <n v="1246.58"/>
    <x v="2"/>
    <s v="Paul Dobes-Stiffel"/>
    <s v="Produktion"/>
    <s v="Hamburg"/>
  </r>
  <r>
    <s v="G0016"/>
    <n v="1002"/>
    <d v="2025-05-22T00:00:00"/>
    <d v="2025-05-31T00:00:00"/>
    <x v="2"/>
    <s v="Canon Pixma"/>
    <d v="2023-03-30T00:00:00"/>
    <n v="1501.06"/>
    <x v="0"/>
    <s v="Eleni Hauffer"/>
    <s v="IT"/>
    <s v="Berlin"/>
  </r>
  <r>
    <s v="G0007"/>
    <n v="1001"/>
    <d v="2025-08-11T00:00:00"/>
    <m/>
    <x v="4"/>
    <s v="Lenovo ThinkPad"/>
    <d v="2021-06-13T00:00:00"/>
    <n v="869.09"/>
    <x v="2"/>
    <s v="Aleksandr Weinhage"/>
    <s v="IT"/>
    <s v="Berlin"/>
  </r>
  <r>
    <s v="G0035"/>
    <n v="1001"/>
    <d v="2024-01-06T00:00:00"/>
    <m/>
    <x v="0"/>
    <s v="BenQ MW550"/>
    <d v="2024-01-03T00:00:00"/>
    <n v="644.54"/>
    <x v="0"/>
    <s v="Aleksandr Weinhage"/>
    <s v="IT"/>
    <s v="Berlin"/>
  </r>
  <r>
    <s v="G0016"/>
    <n v="1003"/>
    <d v="2024-02-08T00:00:00"/>
    <d v="2025-06-09T00:00:00"/>
    <x v="2"/>
    <s v="Canon Pixma"/>
    <d v="2023-03-30T00:00:00"/>
    <n v="1501.06"/>
    <x v="0"/>
    <s v="Paul Dobes-Stiffel"/>
    <s v="Produktion"/>
    <s v="Hamburg"/>
  </r>
  <r>
    <s v="G0031"/>
    <n v="1004"/>
    <d v="2024-02-14T00:00:00"/>
    <m/>
    <x v="4"/>
    <s v="HP EliteBook"/>
    <d v="2025-04-28T00:00:00"/>
    <n v="1095.6199999999999"/>
    <x v="1"/>
    <s v="Klemens Löffler"/>
    <s v="Vertrieb"/>
    <s v="Hamburg"/>
  </r>
  <r>
    <s v="G0004"/>
    <n v="1003"/>
    <d v="2025-06-19T00:00:00"/>
    <d v="2025-09-08T00:00:00"/>
    <x v="4"/>
    <s v="Dell XPS"/>
    <d v="2025-05-05T00:00:00"/>
    <n v="1007.88"/>
    <x v="1"/>
    <s v="Paul Dobes-Stiffel"/>
    <s v="Produktion"/>
    <s v="Hamburg"/>
  </r>
  <r>
    <s v="G0025"/>
    <n v="1005"/>
    <d v="2025-01-18T00:00:00"/>
    <m/>
    <x v="0"/>
    <s v="Epson EB"/>
    <d v="2023-12-06T00:00:00"/>
    <n v="545.46"/>
    <x v="0"/>
    <s v="Alexandre Davids"/>
    <s v="Vertrieb"/>
    <s v="Berlin"/>
  </r>
  <r>
    <s v="G0030"/>
    <n v="1005"/>
    <d v="2023-12-01T00:00:00"/>
    <d v="2024-09-24T00:00:00"/>
    <x v="0"/>
    <s v="Epson EB"/>
    <d v="2022-03-27T00:00:00"/>
    <n v="1629.76"/>
    <x v="1"/>
    <s v="Alexandre Davids"/>
    <s v="Vertrieb"/>
    <s v="Berlin"/>
  </r>
  <r>
    <s v="G0032"/>
    <n v="1003"/>
    <d v="2024-08-04T00:00:00"/>
    <d v="2025-08-02T00:00:00"/>
    <x v="4"/>
    <s v="Lenovo ThinkPad"/>
    <d v="2022-11-11T00:00:00"/>
    <n v="1801.36"/>
    <x v="1"/>
    <s v="Paul Dobes-Stiffel"/>
    <s v="Produktion"/>
    <s v="Hamburg"/>
  </r>
  <r>
    <s v="G0014"/>
    <n v="1001"/>
    <d v="2024-11-26T00:00:00"/>
    <d v="2025-03-03T00:00:00"/>
    <x v="4"/>
    <s v="Lenovo ThinkPad"/>
    <d v="2021-03-03T00:00:00"/>
    <n v="1415.97"/>
    <x v="2"/>
    <s v="Aleksandr Weinhage"/>
    <s v="IT"/>
    <s v="Berlin"/>
  </r>
  <r>
    <s v="G0035"/>
    <n v="1001"/>
    <d v="2024-12-15T00:00:00"/>
    <m/>
    <x v="0"/>
    <s v="BenQ MW550"/>
    <d v="2024-01-03T00:00:00"/>
    <n v="644.54"/>
    <x v="0"/>
    <s v="Aleksandr Weinhage"/>
    <s v="IT"/>
    <s v="Berlin"/>
  </r>
  <r>
    <s v="G0004"/>
    <n v="1001"/>
    <d v="2025-08-11T00:00:00"/>
    <d v="2025-08-12T00:00:00"/>
    <x v="4"/>
    <s v="Dell XPS"/>
    <d v="2025-05-05T00:00:00"/>
    <n v="1007.88"/>
    <x v="1"/>
    <s v="Aleksandr Weinhage"/>
    <s v="IT"/>
    <s v="Berlin"/>
  </r>
  <r>
    <s v="G0033"/>
    <n v="1009"/>
    <d v="2025-03-24T00:00:00"/>
    <d v="2025-05-07T00:00:00"/>
    <x v="0"/>
    <s v="BenQ MW550"/>
    <d v="2022-03-03T00:00:00"/>
    <n v="1212.29"/>
    <x v="0"/>
    <s v="Univ.Prof. Heimo Karge"/>
    <s v="Marketing"/>
    <s v="Hamburg"/>
  </r>
  <r>
    <s v="G0033"/>
    <n v="1002"/>
    <d v="2025-03-25T00:00:00"/>
    <m/>
    <x v="0"/>
    <s v="BenQ MW550"/>
    <d v="2022-03-03T00:00:00"/>
    <n v="1212.29"/>
    <x v="0"/>
    <s v="Eleni Hauffer"/>
    <s v="IT"/>
    <s v="Berlin"/>
  </r>
  <r>
    <s v="G0005"/>
    <n v="1010"/>
    <d v="2025-08-30T00:00:00"/>
    <d v="2025-09-25T00:00:00"/>
    <x v="2"/>
    <s v="Canon Pixma"/>
    <d v="2021-11-03T00:00:00"/>
    <n v="823.23"/>
    <x v="0"/>
    <s v="Carolin Hande"/>
    <s v="IT"/>
    <s v="Hamburg"/>
  </r>
  <r>
    <s v="G0016"/>
    <n v="1007"/>
    <d v="2025-05-18T00:00:00"/>
    <d v="2025-07-08T00:00:00"/>
    <x v="2"/>
    <s v="Canon Pixma"/>
    <d v="2023-03-30T00:00:00"/>
    <n v="1501.06"/>
    <x v="0"/>
    <s v="Orhan Siering MBA."/>
    <s v="IT"/>
    <s v="Berlin"/>
  </r>
  <r>
    <s v="G0016"/>
    <n v="1010"/>
    <d v="2025-05-31T00:00:00"/>
    <d v="2025-10-02T00:00:00"/>
    <x v="2"/>
    <s v="Canon Pixma"/>
    <d v="2023-03-30T00:00:00"/>
    <n v="1501.06"/>
    <x v="0"/>
    <s v="Carolin Hande"/>
    <s v="IT"/>
    <s v="Hamburg"/>
  </r>
  <r>
    <s v="G0006"/>
    <n v="1007"/>
    <d v="2024-07-03T00:00:00"/>
    <m/>
    <x v="3"/>
    <s v="Samsung S21"/>
    <d v="2024-01-01T00:00:00"/>
    <n v="1257.96"/>
    <x v="1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9C4E0-5D9B-2C42-9626-F4963B86E8BA}" name="PivotTable1" cacheId="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A3:E11" firstHeaderRow="1" firstDataRow="2" firstDataCol="1"/>
  <pivotFields count="12">
    <pivotField dataField="1" showAll="0"/>
    <pivotField numFmtId="1" showAll="0"/>
    <pivotField numFmtId="14" showAll="0"/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numFmtId="14" showAll="0"/>
    <pivotField numFmtId="164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ätenummer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D1B75854-CCA3-F545-804F-356AD4BC2914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D6ABAC38-1859-7C46-B32C-EA9CDE262218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660A6050-45F8-6648-89AE-CEAF6284683E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488ED6FF-1CB2-0B43-A0C6-01CA860BBC74}" autoFormatId="16" applyNumberFormats="0" applyBorderFormats="0" applyFontFormats="0" applyPatternFormats="0" applyAlignmentFormats="0" applyWidthHeightFormats="0">
  <queryTableRefresh nextId="14" unboundColumnsRight="8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309FFA-F8FC-F24F-AB57-53C2C883CE11}" name="Ausleihen__3" displayName="Ausleihen__3" ref="A1:D46" tableType="queryTable" totalsRowShown="0">
  <autoFilter ref="A1:D46" xr:uid="{85309FFA-F8FC-F24F-AB57-53C2C883CE11}"/>
  <tableColumns count="4">
    <tableColumn id="1" xr3:uid="{68D34859-38B7-B84D-9513-C75817798680}" uniqueName="1" name="Gerätenummer" queryTableFieldId="1" dataDxfId="26"/>
    <tableColumn id="2" xr3:uid="{08F50FDD-7B92-A244-B0FA-790F7F9F537F}" uniqueName="2" name="Mitarbeiter-ID" queryTableFieldId="2" dataDxfId="24"/>
    <tableColumn id="3" xr3:uid="{68302F70-7F17-DF44-B3C3-5F634AFC18B9}" uniqueName="3" name="Ausgabe am" queryTableFieldId="3" dataDxfId="25"/>
    <tableColumn id="4" xr3:uid="{F7E3878C-611A-3942-BB13-6D97F90C6756}" uniqueName="4" name="Rückgabe am" queryTableFieldId="4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2EA434-AABE-1A4D-982F-E0E1287E1467}" name="Geraete" displayName="Geraete" ref="A1:F36" tableType="queryTable" totalsRowShown="0">
  <autoFilter ref="A1:F36" xr:uid="{592EA434-AABE-1A4D-982F-E0E1287E1467}"/>
  <tableColumns count="6">
    <tableColumn id="1" xr3:uid="{15493AA0-5BF0-A545-90B3-9414C47EC1F2}" uniqueName="1" name="Gerätenummer" queryTableFieldId="1" dataDxfId="36"/>
    <tableColumn id="2" xr3:uid="{D4A7CBDA-F02B-8144-A922-D4B8E5323845}" uniqueName="2" name="Gerätetyp" queryTableFieldId="2" dataDxfId="35"/>
    <tableColumn id="3" xr3:uid="{2973C530-E2AE-104F-9359-A67D6FF31844}" uniqueName="3" name="Modell" queryTableFieldId="3" dataDxfId="34"/>
    <tableColumn id="4" xr3:uid="{456DF500-324B-C346-B5CF-0AA159CFB2AA}" uniqueName="4" name="Kaufdatum" queryTableFieldId="4" dataDxfId="31"/>
    <tableColumn id="5" xr3:uid="{0466FA76-F957-7B41-B81E-4E055DC3E455}" uniqueName="5" name="Netto-Kaufpreis" queryTableFieldId="5" dataDxfId="29"/>
    <tableColumn id="6" xr3:uid="{1AD5D242-50BD-A344-AC3A-9A57AB7F8D3D}" uniqueName="6" name="Standort" queryTableFieldId="6" dataDxf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94F2B9-D7EF-5D4C-AD4A-66D61A0D5C22}" name="Mitarbeiter" displayName="Mitarbeiter" ref="A1:D13" tableType="queryTable" totalsRowShown="0">
  <autoFilter ref="A1:D13" xr:uid="{7894F2B9-D7EF-5D4C-AD4A-66D61A0D5C22}"/>
  <tableColumns count="4">
    <tableColumn id="1" xr3:uid="{82419368-56EF-E043-8052-5B199CD342E3}" uniqueName="1" name="Mitarbeiter-ID" queryTableFieldId="1" dataDxfId="27"/>
    <tableColumn id="2" xr3:uid="{E5C3136C-90A5-A14C-AFC8-F6E383C0E333}" uniqueName="2" name="Name" queryTableFieldId="2" dataDxfId="28"/>
    <tableColumn id="3" xr3:uid="{788A5330-106B-2D44-A36B-AA8592E48732}" uniqueName="3" name="Abteilung" queryTableFieldId="3" dataDxfId="33"/>
    <tableColumn id="4" xr3:uid="{1E52BF6D-5D62-7E48-BF68-A81CCBE37FDB}" uniqueName="4" name="Standort" queryTableFieldId="4" dataDxf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FB23A-8A57-2A47-93ED-9044A3110072}" name="Ausleihen__32" displayName="Ausleihen__32" ref="A1:L47" tableType="queryTable" totalsRowCount="1">
  <tableColumns count="12">
    <tableColumn id="1" xr3:uid="{AA34A09F-F420-C74C-9CF3-2AD6DE9A6A15}" uniqueName="1" name="Gerätenummer" queryTableFieldId="1" dataDxfId="23" totalsRowDxfId="11"/>
    <tableColumn id="2" xr3:uid="{CCA91D1B-480B-0E4E-A03A-5E107BCF4BE6}" uniqueName="2" name="Mitarbeiter-ID" queryTableFieldId="2" dataDxfId="22" totalsRowDxfId="10"/>
    <tableColumn id="3" xr3:uid="{C8FFFFA7-181A-AF49-8302-2EBDC2AE5BEB}" uniqueName="3" name="Ausgabe am" queryTableFieldId="3" dataDxfId="21" totalsRowDxfId="9"/>
    <tableColumn id="4" xr3:uid="{1F10113B-CD1F-214D-A328-9E01EA8C9AEF}" uniqueName="4" name="Rückgabe am" queryTableFieldId="4" dataDxfId="20" totalsRowDxfId="8"/>
    <tableColumn id="5" xr3:uid="{3B4CAB0E-45AC-C148-9E96-BF26B7821015}" uniqueName="5" name="Gerätetyp" queryTableFieldId="5" dataDxfId="19" totalsRowDxfId="7">
      <calculatedColumnFormula>VLOOKUP(A2,Geraete!A:F,2,FALSE)</calculatedColumnFormula>
    </tableColumn>
    <tableColumn id="6" xr3:uid="{1F413BB6-3601-2542-A191-43F09B591E6B}" uniqueName="6" name="Modell" queryTableFieldId="6" dataDxfId="18" totalsRowDxfId="6">
      <calculatedColumnFormula>VLOOKUP(A2,Geraete!A:F,3,FALSE)</calculatedColumnFormula>
    </tableColumn>
    <tableColumn id="7" xr3:uid="{E4AFFEA0-4311-5A44-880E-51D1DEE65E94}" uniqueName="7" name="Kaufdatum" queryTableFieldId="7" dataDxfId="17" totalsRowDxfId="5">
      <calculatedColumnFormula>VLOOKUP(A2,Geraete!A:F,4,FALSE)</calculatedColumnFormula>
    </tableColumn>
    <tableColumn id="8" xr3:uid="{16C14272-0C12-8243-AA84-4490F978BFE0}" uniqueName="8" name="Netto-Kaufpreis" queryTableFieldId="8" dataDxfId="16" totalsRowDxfId="4">
      <calculatedColumnFormula>VLOOKUP(A2,Geraete!A:F,5,FALSE)</calculatedColumnFormula>
    </tableColumn>
    <tableColumn id="9" xr3:uid="{E7B2B921-538A-574B-AB32-61A891D59516}" uniqueName="9" name="Standort" queryTableFieldId="9" dataDxfId="15" totalsRowDxfId="3">
      <calculatedColumnFormula>VLOOKUP(A2,Geraete!A:F,6,FALSE)</calculatedColumnFormula>
    </tableColumn>
    <tableColumn id="11" xr3:uid="{2311476C-EF1C-7D45-BC18-C30DD7E704C5}" uniqueName="11" name="Name" queryTableFieldId="11" dataDxfId="14" totalsRowDxfId="2">
      <calculatedColumnFormula>VLOOKUP(B2&amp;"",Mitarbeiter!$A:$D,2,FALSE)</calculatedColumnFormula>
    </tableColumn>
    <tableColumn id="12" xr3:uid="{9DC0D57F-C912-F046-A6A2-C7A5C72C9EBF}" uniqueName="12" name="Abteilung" queryTableFieldId="12" dataDxfId="13" totalsRowDxfId="1">
      <calculatedColumnFormula>VLOOKUP(B2&amp;"",Mitarbeiter!$A:$D,3,FALSE)</calculatedColumnFormula>
    </tableColumn>
    <tableColumn id="13" xr3:uid="{1F79EB2D-9D4D-8C4F-B88C-0244B71614AF}" uniqueName="13" name="Standort2" queryTableFieldId="13" dataDxfId="12" totalsRowDxfId="0">
      <calculatedColumnFormula>VLOOKUP(B2&amp;"",Mitarbeiter!$A:$D,4,FALSE)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79D0-C9E9-D74B-8097-E649D2BB5F7D}">
  <dimension ref="A1:F46"/>
  <sheetViews>
    <sheetView workbookViewId="0">
      <selection activeCell="H16" sqref="H16"/>
    </sheetView>
  </sheetViews>
  <sheetFormatPr baseColWidth="10" defaultRowHeight="16" x14ac:dyDescent="0.2"/>
  <cols>
    <col min="1" max="1" width="16.33203125" bestFit="1" customWidth="1"/>
    <col min="2" max="2" width="15.33203125" style="9" bestFit="1" customWidth="1"/>
    <col min="3" max="3" width="13.83203125" style="1" bestFit="1" customWidth="1"/>
    <col min="4" max="4" width="14.83203125" style="1" bestFit="1" customWidth="1"/>
  </cols>
  <sheetData>
    <row r="1" spans="1:6" x14ac:dyDescent="0.2">
      <c r="A1" t="s">
        <v>0</v>
      </c>
      <c r="B1" s="9" t="s">
        <v>1</v>
      </c>
      <c r="C1" s="1" t="s">
        <v>2</v>
      </c>
      <c r="D1" s="1" t="s">
        <v>3</v>
      </c>
    </row>
    <row r="2" spans="1:6" x14ac:dyDescent="0.2">
      <c r="A2" s="10" t="s">
        <v>4</v>
      </c>
      <c r="B2" s="9">
        <v>1009</v>
      </c>
      <c r="C2" s="1">
        <v>45421</v>
      </c>
    </row>
    <row r="3" spans="1:6" x14ac:dyDescent="0.2">
      <c r="A3" t="s">
        <v>6</v>
      </c>
      <c r="B3" s="9">
        <v>1008</v>
      </c>
      <c r="C3" s="1">
        <v>45930</v>
      </c>
      <c r="D3" s="1">
        <v>45935</v>
      </c>
    </row>
    <row r="4" spans="1:6" x14ac:dyDescent="0.2">
      <c r="A4" t="s">
        <v>8</v>
      </c>
      <c r="B4" s="9">
        <v>1005</v>
      </c>
      <c r="C4" s="1">
        <v>45743</v>
      </c>
      <c r="D4" s="1">
        <v>45868</v>
      </c>
    </row>
    <row r="5" spans="1:6" x14ac:dyDescent="0.2">
      <c r="A5" t="s">
        <v>10</v>
      </c>
      <c r="B5" s="9">
        <v>1010</v>
      </c>
      <c r="C5" s="1">
        <v>45866</v>
      </c>
    </row>
    <row r="6" spans="1:6" x14ac:dyDescent="0.2">
      <c r="A6" t="s">
        <v>12</v>
      </c>
      <c r="B6" s="9">
        <v>1012</v>
      </c>
      <c r="C6" s="1">
        <v>45808</v>
      </c>
      <c r="D6" s="1">
        <v>45818</v>
      </c>
    </row>
    <row r="7" spans="1:6" x14ac:dyDescent="0.2">
      <c r="A7" t="s">
        <v>14</v>
      </c>
      <c r="B7" s="9">
        <v>1009</v>
      </c>
      <c r="C7" s="1">
        <v>45389</v>
      </c>
    </row>
    <row r="8" spans="1:6" x14ac:dyDescent="0.2">
      <c r="A8" t="s">
        <v>15</v>
      </c>
      <c r="B8" s="9">
        <v>1011</v>
      </c>
      <c r="C8" s="1">
        <v>45850</v>
      </c>
      <c r="D8" s="1">
        <v>45853</v>
      </c>
    </row>
    <row r="9" spans="1:6" x14ac:dyDescent="0.2">
      <c r="A9" t="s">
        <v>17</v>
      </c>
      <c r="B9" s="9">
        <v>1005</v>
      </c>
      <c r="C9" s="1">
        <v>45837</v>
      </c>
      <c r="D9" s="1">
        <v>45898</v>
      </c>
    </row>
    <row r="10" spans="1:6" x14ac:dyDescent="0.2">
      <c r="A10" t="s">
        <v>18</v>
      </c>
      <c r="B10" s="9">
        <v>1004</v>
      </c>
      <c r="C10" s="1">
        <v>45523</v>
      </c>
    </row>
    <row r="11" spans="1:6" x14ac:dyDescent="0.2">
      <c r="A11" t="s">
        <v>20</v>
      </c>
      <c r="B11" s="9">
        <v>1012</v>
      </c>
      <c r="C11" s="1">
        <v>45419</v>
      </c>
      <c r="D11" s="1">
        <v>45470</v>
      </c>
    </row>
    <row r="12" spans="1:6" x14ac:dyDescent="0.2">
      <c r="A12" t="s">
        <v>8</v>
      </c>
      <c r="B12" s="9">
        <v>1008</v>
      </c>
      <c r="C12" s="1">
        <v>45375</v>
      </c>
    </row>
    <row r="13" spans="1:6" x14ac:dyDescent="0.2">
      <c r="A13" t="s">
        <v>21</v>
      </c>
      <c r="B13" s="9">
        <v>1002</v>
      </c>
      <c r="C13" s="1">
        <v>45921</v>
      </c>
      <c r="D13" s="1">
        <v>45934</v>
      </c>
    </row>
    <row r="14" spans="1:6" x14ac:dyDescent="0.2">
      <c r="A14" t="s">
        <v>14</v>
      </c>
      <c r="B14" s="9">
        <v>1006</v>
      </c>
      <c r="C14" s="1">
        <v>45892</v>
      </c>
      <c r="D14" s="1">
        <v>45922</v>
      </c>
    </row>
    <row r="15" spans="1:6" x14ac:dyDescent="0.2">
      <c r="A15" t="s">
        <v>24</v>
      </c>
      <c r="B15" s="9">
        <v>1010</v>
      </c>
      <c r="C15" s="1">
        <v>45377</v>
      </c>
      <c r="D15" s="1">
        <v>45886</v>
      </c>
      <c r="F15" s="5"/>
    </row>
    <row r="16" spans="1:6" x14ac:dyDescent="0.2">
      <c r="A16" t="s">
        <v>14</v>
      </c>
      <c r="B16" s="9">
        <v>1012</v>
      </c>
      <c r="C16" s="1">
        <v>45599</v>
      </c>
    </row>
    <row r="17" spans="1:4" x14ac:dyDescent="0.2">
      <c r="A17" t="s">
        <v>24</v>
      </c>
      <c r="B17" s="9">
        <v>1002</v>
      </c>
      <c r="C17" s="1">
        <v>45519</v>
      </c>
    </row>
    <row r="18" spans="1:4" x14ac:dyDescent="0.2">
      <c r="A18" t="s">
        <v>25</v>
      </c>
      <c r="B18" s="9">
        <v>1002</v>
      </c>
      <c r="C18" s="1">
        <v>45899</v>
      </c>
      <c r="D18" s="1">
        <v>45930</v>
      </c>
    </row>
    <row r="19" spans="1:4" x14ac:dyDescent="0.2">
      <c r="A19" t="s">
        <v>26</v>
      </c>
      <c r="B19" s="9">
        <v>1011</v>
      </c>
      <c r="C19" s="1">
        <v>45568</v>
      </c>
      <c r="D19" s="1">
        <v>45623</v>
      </c>
    </row>
    <row r="20" spans="1:4" x14ac:dyDescent="0.2">
      <c r="A20" s="10" t="s">
        <v>4</v>
      </c>
      <c r="B20" s="9">
        <v>1003</v>
      </c>
      <c r="C20" s="1">
        <v>45417</v>
      </c>
    </row>
    <row r="21" spans="1:4" x14ac:dyDescent="0.2">
      <c r="A21" t="s">
        <v>28</v>
      </c>
      <c r="B21" s="9">
        <v>1004</v>
      </c>
      <c r="C21" s="1">
        <v>45320</v>
      </c>
    </row>
    <row r="22" spans="1:4" x14ac:dyDescent="0.2">
      <c r="A22" t="s">
        <v>29</v>
      </c>
      <c r="B22" s="9">
        <v>1004</v>
      </c>
      <c r="C22" s="1">
        <v>45403</v>
      </c>
      <c r="D22" s="1">
        <v>45839</v>
      </c>
    </row>
    <row r="23" spans="1:4" x14ac:dyDescent="0.2">
      <c r="A23" t="s">
        <v>18</v>
      </c>
      <c r="B23" s="9">
        <v>1006</v>
      </c>
      <c r="C23" s="1">
        <v>45630</v>
      </c>
      <c r="D23" s="1">
        <v>45732</v>
      </c>
    </row>
    <row r="24" spans="1:4" x14ac:dyDescent="0.2">
      <c r="A24" t="s">
        <v>30</v>
      </c>
      <c r="B24" s="9">
        <v>1012</v>
      </c>
      <c r="C24" s="1">
        <v>45792</v>
      </c>
      <c r="D24" s="1">
        <v>45905</v>
      </c>
    </row>
    <row r="25" spans="1:4" x14ac:dyDescent="0.2">
      <c r="A25" t="s">
        <v>31</v>
      </c>
      <c r="B25" s="9">
        <v>1001</v>
      </c>
      <c r="C25" s="1">
        <v>45544</v>
      </c>
      <c r="D25" s="1">
        <v>45854</v>
      </c>
    </row>
    <row r="26" spans="1:4" x14ac:dyDescent="0.2">
      <c r="A26" t="s">
        <v>25</v>
      </c>
      <c r="B26" s="9">
        <v>1002</v>
      </c>
      <c r="C26" s="1">
        <v>45493</v>
      </c>
      <c r="D26" s="1">
        <v>45663</v>
      </c>
    </row>
    <row r="27" spans="1:4" x14ac:dyDescent="0.2">
      <c r="A27" t="s">
        <v>20</v>
      </c>
      <c r="B27" s="9">
        <v>1009</v>
      </c>
      <c r="C27" s="1">
        <v>45319</v>
      </c>
      <c r="D27" s="1">
        <v>45714</v>
      </c>
    </row>
    <row r="28" spans="1:4" x14ac:dyDescent="0.2">
      <c r="A28" t="s">
        <v>18</v>
      </c>
      <c r="B28" s="9">
        <v>1003</v>
      </c>
      <c r="C28" s="1">
        <v>45595</v>
      </c>
      <c r="D28" s="1">
        <v>45630</v>
      </c>
    </row>
    <row r="29" spans="1:4" x14ac:dyDescent="0.2">
      <c r="A29" s="7" t="s">
        <v>10</v>
      </c>
      <c r="B29" s="9">
        <v>1002</v>
      </c>
      <c r="C29" s="1">
        <v>45799</v>
      </c>
      <c r="D29" s="1">
        <v>45808</v>
      </c>
    </row>
    <row r="30" spans="1:4" x14ac:dyDescent="0.2">
      <c r="A30" t="s">
        <v>31</v>
      </c>
      <c r="B30" s="9">
        <v>1001</v>
      </c>
      <c r="C30" s="1">
        <v>45880</v>
      </c>
    </row>
    <row r="31" spans="1:4" x14ac:dyDescent="0.2">
      <c r="A31" t="s">
        <v>4</v>
      </c>
      <c r="B31" s="9">
        <v>1001</v>
      </c>
      <c r="C31" s="1">
        <v>45297</v>
      </c>
    </row>
    <row r="32" spans="1:4" x14ac:dyDescent="0.2">
      <c r="A32" s="7" t="s">
        <v>10</v>
      </c>
      <c r="B32" s="9">
        <v>1003</v>
      </c>
      <c r="C32" s="1">
        <v>45330</v>
      </c>
      <c r="D32" s="1">
        <v>45817</v>
      </c>
    </row>
    <row r="33" spans="1:4" x14ac:dyDescent="0.2">
      <c r="A33" t="s">
        <v>28</v>
      </c>
      <c r="B33" s="9">
        <v>1004</v>
      </c>
      <c r="C33" s="1">
        <v>45336</v>
      </c>
    </row>
    <row r="34" spans="1:4" x14ac:dyDescent="0.2">
      <c r="A34" s="6" t="s">
        <v>33</v>
      </c>
      <c r="B34" s="9">
        <v>1003</v>
      </c>
      <c r="C34" s="1">
        <v>45827</v>
      </c>
      <c r="D34" s="1">
        <v>45908</v>
      </c>
    </row>
    <row r="35" spans="1:4" x14ac:dyDescent="0.2">
      <c r="A35" t="s">
        <v>34</v>
      </c>
      <c r="B35" s="9">
        <v>1005</v>
      </c>
      <c r="C35" s="1">
        <v>45675</v>
      </c>
    </row>
    <row r="36" spans="1:4" x14ac:dyDescent="0.2">
      <c r="A36" t="s">
        <v>30</v>
      </c>
      <c r="B36" s="9">
        <v>1005</v>
      </c>
      <c r="C36" s="1">
        <v>45261</v>
      </c>
      <c r="D36" s="1">
        <v>45559</v>
      </c>
    </row>
    <row r="37" spans="1:4" x14ac:dyDescent="0.2">
      <c r="A37" t="s">
        <v>35</v>
      </c>
      <c r="B37" s="9">
        <v>1003</v>
      </c>
      <c r="C37" s="1">
        <v>45508</v>
      </c>
      <c r="D37" s="1">
        <v>45871</v>
      </c>
    </row>
    <row r="38" spans="1:4" x14ac:dyDescent="0.2">
      <c r="A38" t="s">
        <v>36</v>
      </c>
      <c r="B38" s="9">
        <v>1001</v>
      </c>
      <c r="C38" s="1">
        <v>45622</v>
      </c>
      <c r="D38" s="1">
        <v>45719</v>
      </c>
    </row>
    <row r="39" spans="1:4" x14ac:dyDescent="0.2">
      <c r="A39" s="10" t="s">
        <v>4</v>
      </c>
      <c r="B39" s="9">
        <v>1001</v>
      </c>
      <c r="C39" s="1">
        <v>45641</v>
      </c>
    </row>
    <row r="40" spans="1:4" x14ac:dyDescent="0.2">
      <c r="A40" s="6" t="s">
        <v>33</v>
      </c>
      <c r="B40" s="9">
        <v>1001</v>
      </c>
      <c r="C40" s="1">
        <v>45880</v>
      </c>
      <c r="D40" s="1">
        <v>45881</v>
      </c>
    </row>
    <row r="41" spans="1:4" x14ac:dyDescent="0.2">
      <c r="A41" t="s">
        <v>37</v>
      </c>
      <c r="B41" s="9">
        <v>1009</v>
      </c>
      <c r="C41" s="1">
        <v>45740</v>
      </c>
      <c r="D41" s="1">
        <v>45784</v>
      </c>
    </row>
    <row r="42" spans="1:4" x14ac:dyDescent="0.2">
      <c r="A42" t="s">
        <v>37</v>
      </c>
      <c r="B42" s="9">
        <v>1002</v>
      </c>
      <c r="C42" s="1">
        <v>45741</v>
      </c>
    </row>
    <row r="43" spans="1:4" x14ac:dyDescent="0.2">
      <c r="A43" t="s">
        <v>14</v>
      </c>
      <c r="B43" s="9">
        <v>1010</v>
      </c>
      <c r="C43" s="1">
        <v>45899</v>
      </c>
      <c r="D43" s="1">
        <v>45925</v>
      </c>
    </row>
    <row r="44" spans="1:4" x14ac:dyDescent="0.2">
      <c r="A44" s="7" t="s">
        <v>10</v>
      </c>
      <c r="B44" s="9">
        <v>1007</v>
      </c>
      <c r="C44" s="1">
        <v>45795</v>
      </c>
      <c r="D44" s="1">
        <v>45846</v>
      </c>
    </row>
    <row r="45" spans="1:4" x14ac:dyDescent="0.2">
      <c r="A45" s="7" t="s">
        <v>10</v>
      </c>
      <c r="B45" s="9">
        <v>1010</v>
      </c>
      <c r="C45" s="1">
        <v>45808</v>
      </c>
      <c r="D45" s="1">
        <v>45932</v>
      </c>
    </row>
    <row r="46" spans="1:4" x14ac:dyDescent="0.2">
      <c r="A46" t="s">
        <v>12</v>
      </c>
      <c r="B46" s="9">
        <v>1007</v>
      </c>
      <c r="C46" s="1">
        <v>45476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9EA2-83C9-1641-8163-D76092FB8F22}">
  <dimension ref="A1:H36"/>
  <sheetViews>
    <sheetView workbookViewId="0">
      <selection activeCell="G25" sqref="G25"/>
    </sheetView>
  </sheetViews>
  <sheetFormatPr baseColWidth="10" defaultRowHeight="16" x14ac:dyDescent="0.2"/>
  <cols>
    <col min="1" max="1" width="16.33203125" bestFit="1" customWidth="1"/>
    <col min="2" max="2" width="11.83203125" bestFit="1" customWidth="1"/>
    <col min="3" max="3" width="14.5" bestFit="1" customWidth="1"/>
    <col min="4" max="4" width="12.83203125" style="1" bestFit="1" customWidth="1"/>
    <col min="5" max="5" width="17" style="2" bestFit="1" customWidth="1"/>
    <col min="6" max="6" width="10.6640625" bestFit="1" customWidth="1"/>
  </cols>
  <sheetData>
    <row r="1" spans="1:8" x14ac:dyDescent="0.2">
      <c r="A1" t="s">
        <v>0</v>
      </c>
      <c r="B1" t="s">
        <v>39</v>
      </c>
      <c r="C1" t="s">
        <v>40</v>
      </c>
      <c r="D1" s="1" t="s">
        <v>41</v>
      </c>
      <c r="E1" s="2" t="s">
        <v>42</v>
      </c>
      <c r="F1" t="s">
        <v>43</v>
      </c>
    </row>
    <row r="2" spans="1:8" x14ac:dyDescent="0.2">
      <c r="A2" t="s">
        <v>44</v>
      </c>
      <c r="B2" t="s">
        <v>45</v>
      </c>
      <c r="C2" t="s">
        <v>46</v>
      </c>
      <c r="D2" s="1">
        <v>44937</v>
      </c>
      <c r="E2" s="2">
        <v>1342.83</v>
      </c>
      <c r="F2" t="s">
        <v>47</v>
      </c>
    </row>
    <row r="3" spans="1:8" x14ac:dyDescent="0.2">
      <c r="A3" t="s">
        <v>48</v>
      </c>
      <c r="B3" t="s">
        <v>45</v>
      </c>
      <c r="C3" t="s">
        <v>49</v>
      </c>
      <c r="D3" s="1">
        <v>44250</v>
      </c>
      <c r="E3" s="2">
        <v>1076.18</v>
      </c>
      <c r="F3" t="s">
        <v>50</v>
      </c>
    </row>
    <row r="4" spans="1:8" x14ac:dyDescent="0.2">
      <c r="A4" t="s">
        <v>51</v>
      </c>
      <c r="B4" t="s">
        <v>45</v>
      </c>
      <c r="C4" t="s">
        <v>52</v>
      </c>
      <c r="D4" s="1">
        <v>45543</v>
      </c>
      <c r="E4" s="2">
        <v>1931.54</v>
      </c>
      <c r="F4" t="s">
        <v>50</v>
      </c>
      <c r="H4" s="5"/>
    </row>
    <row r="5" spans="1:8" x14ac:dyDescent="0.2">
      <c r="A5" t="s">
        <v>33</v>
      </c>
      <c r="B5" t="s">
        <v>53</v>
      </c>
      <c r="C5" t="s">
        <v>54</v>
      </c>
      <c r="D5" s="1">
        <v>45782</v>
      </c>
      <c r="E5" s="2">
        <v>1007.88</v>
      </c>
      <c r="F5" t="s">
        <v>50</v>
      </c>
    </row>
    <row r="6" spans="1:8" x14ac:dyDescent="0.2">
      <c r="A6" t="s">
        <v>14</v>
      </c>
      <c r="B6" t="s">
        <v>55</v>
      </c>
      <c r="C6" t="s">
        <v>56</v>
      </c>
      <c r="D6" s="1">
        <v>44503</v>
      </c>
      <c r="E6" s="2">
        <v>823.23</v>
      </c>
      <c r="F6" t="s">
        <v>47</v>
      </c>
    </row>
    <row r="7" spans="1:8" x14ac:dyDescent="0.2">
      <c r="A7" t="s">
        <v>12</v>
      </c>
      <c r="B7" t="s">
        <v>57</v>
      </c>
      <c r="C7" t="s">
        <v>58</v>
      </c>
      <c r="D7" s="1">
        <v>45292</v>
      </c>
      <c r="E7" s="2">
        <v>1257.96</v>
      </c>
      <c r="F7" t="s">
        <v>50</v>
      </c>
    </row>
    <row r="8" spans="1:8" x14ac:dyDescent="0.2">
      <c r="A8" t="s">
        <v>31</v>
      </c>
      <c r="B8" t="s">
        <v>53</v>
      </c>
      <c r="C8" t="s">
        <v>59</v>
      </c>
      <c r="D8" s="1">
        <v>44360</v>
      </c>
      <c r="E8" s="2">
        <v>869.09</v>
      </c>
      <c r="F8" t="s">
        <v>60</v>
      </c>
    </row>
    <row r="9" spans="1:8" x14ac:dyDescent="0.2">
      <c r="A9" t="s">
        <v>61</v>
      </c>
      <c r="B9" t="s">
        <v>62</v>
      </c>
      <c r="C9" t="s">
        <v>63</v>
      </c>
      <c r="D9" s="1">
        <v>45831</v>
      </c>
      <c r="E9" s="2">
        <v>1323.76</v>
      </c>
      <c r="F9" t="s">
        <v>60</v>
      </c>
    </row>
    <row r="10" spans="1:8" x14ac:dyDescent="0.2">
      <c r="A10" t="s">
        <v>15</v>
      </c>
      <c r="B10" t="s">
        <v>53</v>
      </c>
      <c r="C10" t="s">
        <v>54</v>
      </c>
      <c r="D10" s="1">
        <v>45026</v>
      </c>
      <c r="E10" s="2">
        <v>1458.02</v>
      </c>
      <c r="F10" t="s">
        <v>50</v>
      </c>
    </row>
    <row r="11" spans="1:8" x14ac:dyDescent="0.2">
      <c r="A11" t="s">
        <v>64</v>
      </c>
      <c r="B11" t="s">
        <v>53</v>
      </c>
      <c r="C11" t="s">
        <v>54</v>
      </c>
      <c r="D11" s="1">
        <v>45239</v>
      </c>
      <c r="E11" s="2">
        <v>1786.37</v>
      </c>
      <c r="F11" t="s">
        <v>50</v>
      </c>
    </row>
    <row r="12" spans="1:8" x14ac:dyDescent="0.2">
      <c r="A12" t="s">
        <v>17</v>
      </c>
      <c r="B12" t="s">
        <v>55</v>
      </c>
      <c r="C12" t="s">
        <v>65</v>
      </c>
      <c r="D12" s="1">
        <v>45909</v>
      </c>
      <c r="E12" s="2">
        <v>141.71</v>
      </c>
      <c r="F12" t="s">
        <v>50</v>
      </c>
    </row>
    <row r="13" spans="1:8" x14ac:dyDescent="0.2">
      <c r="A13" t="s">
        <v>66</v>
      </c>
      <c r="B13" t="s">
        <v>45</v>
      </c>
      <c r="C13" t="s">
        <v>46</v>
      </c>
      <c r="D13" s="1">
        <v>44713</v>
      </c>
      <c r="E13" s="2">
        <v>968.43</v>
      </c>
      <c r="F13" t="s">
        <v>60</v>
      </c>
    </row>
    <row r="14" spans="1:8" x14ac:dyDescent="0.2">
      <c r="A14" t="s">
        <v>20</v>
      </c>
      <c r="B14" t="s">
        <v>55</v>
      </c>
      <c r="C14" t="s">
        <v>56</v>
      </c>
      <c r="D14" s="1">
        <v>44332</v>
      </c>
      <c r="E14" s="2">
        <v>1898.65</v>
      </c>
      <c r="F14" t="s">
        <v>60</v>
      </c>
    </row>
    <row r="15" spans="1:8" x14ac:dyDescent="0.2">
      <c r="A15" t="s">
        <v>36</v>
      </c>
      <c r="B15" t="s">
        <v>53</v>
      </c>
      <c r="C15" t="s">
        <v>59</v>
      </c>
      <c r="D15" s="1">
        <v>44258</v>
      </c>
      <c r="E15" s="2">
        <v>1415.97</v>
      </c>
      <c r="F15" t="s">
        <v>60</v>
      </c>
    </row>
    <row r="16" spans="1:8" x14ac:dyDescent="0.2">
      <c r="A16" t="s">
        <v>24</v>
      </c>
      <c r="B16" t="s">
        <v>57</v>
      </c>
      <c r="C16" t="s">
        <v>67</v>
      </c>
      <c r="D16" s="1">
        <v>44824</v>
      </c>
      <c r="E16" s="2">
        <v>661.44</v>
      </c>
      <c r="F16" t="s">
        <v>50</v>
      </c>
    </row>
    <row r="17" spans="1:6" x14ac:dyDescent="0.2">
      <c r="A17" t="s">
        <v>10</v>
      </c>
      <c r="B17" t="s">
        <v>55</v>
      </c>
      <c r="C17" t="s">
        <v>56</v>
      </c>
      <c r="D17" s="1">
        <v>45015</v>
      </c>
      <c r="E17" s="2">
        <v>1501.06</v>
      </c>
      <c r="F17" t="s">
        <v>47</v>
      </c>
    </row>
    <row r="18" spans="1:6" x14ac:dyDescent="0.2">
      <c r="A18" t="s">
        <v>68</v>
      </c>
      <c r="B18" t="s">
        <v>57</v>
      </c>
      <c r="C18" t="s">
        <v>58</v>
      </c>
      <c r="D18" s="1">
        <v>44363</v>
      </c>
      <c r="E18" s="2">
        <v>1748.56</v>
      </c>
      <c r="F18" t="s">
        <v>47</v>
      </c>
    </row>
    <row r="19" spans="1:6" x14ac:dyDescent="0.2">
      <c r="A19" t="s">
        <v>26</v>
      </c>
      <c r="B19" t="s">
        <v>45</v>
      </c>
      <c r="C19" t="s">
        <v>52</v>
      </c>
      <c r="D19" s="1">
        <v>44839</v>
      </c>
      <c r="E19" s="2">
        <v>1688.07</v>
      </c>
      <c r="F19" t="s">
        <v>50</v>
      </c>
    </row>
    <row r="20" spans="1:6" x14ac:dyDescent="0.2">
      <c r="A20" t="s">
        <v>69</v>
      </c>
      <c r="B20" t="s">
        <v>55</v>
      </c>
      <c r="C20" t="s">
        <v>70</v>
      </c>
      <c r="D20" s="1">
        <v>44429</v>
      </c>
      <c r="E20" s="2">
        <v>737.57</v>
      </c>
      <c r="F20" t="s">
        <v>60</v>
      </c>
    </row>
    <row r="21" spans="1:6" x14ac:dyDescent="0.2">
      <c r="A21" t="s">
        <v>71</v>
      </c>
      <c r="B21" t="s">
        <v>57</v>
      </c>
      <c r="C21" t="s">
        <v>58</v>
      </c>
      <c r="D21" s="1">
        <v>45297</v>
      </c>
      <c r="E21" s="4">
        <v>74.02</v>
      </c>
      <c r="F21" t="s">
        <v>50</v>
      </c>
    </row>
    <row r="22" spans="1:6" x14ac:dyDescent="0.2">
      <c r="A22" t="s">
        <v>6</v>
      </c>
      <c r="B22" t="s">
        <v>72</v>
      </c>
      <c r="C22" t="s">
        <v>73</v>
      </c>
      <c r="D22" s="1">
        <v>44979</v>
      </c>
      <c r="E22" s="2">
        <v>1134.1600000000001</v>
      </c>
      <c r="F22" t="s">
        <v>50</v>
      </c>
    </row>
    <row r="23" spans="1:6" x14ac:dyDescent="0.2">
      <c r="A23" t="s">
        <v>25</v>
      </c>
      <c r="B23" t="s">
        <v>45</v>
      </c>
      <c r="C23" t="s">
        <v>52</v>
      </c>
      <c r="D23" s="1">
        <v>45524</v>
      </c>
      <c r="E23" s="2">
        <v>1591.98</v>
      </c>
      <c r="F23" t="s">
        <v>60</v>
      </c>
    </row>
    <row r="24" spans="1:6" x14ac:dyDescent="0.2">
      <c r="A24" t="s">
        <v>74</v>
      </c>
      <c r="B24" t="s">
        <v>55</v>
      </c>
      <c r="C24" t="s">
        <v>56</v>
      </c>
      <c r="D24" s="1">
        <v>45249</v>
      </c>
      <c r="E24" s="2">
        <v>1335.34</v>
      </c>
      <c r="F24" t="s">
        <v>60</v>
      </c>
    </row>
    <row r="25" spans="1:6" x14ac:dyDescent="0.2">
      <c r="A25" t="s">
        <v>8</v>
      </c>
      <c r="B25" t="s">
        <v>72</v>
      </c>
      <c r="C25" t="s">
        <v>75</v>
      </c>
      <c r="D25" s="1">
        <v>44621</v>
      </c>
      <c r="E25" s="2">
        <v>750.91</v>
      </c>
      <c r="F25" t="s">
        <v>47</v>
      </c>
    </row>
    <row r="26" spans="1:6" x14ac:dyDescent="0.2">
      <c r="A26" t="s">
        <v>34</v>
      </c>
      <c r="B26" t="s">
        <v>62</v>
      </c>
      <c r="C26" t="s">
        <v>63</v>
      </c>
      <c r="D26" s="1">
        <v>45266</v>
      </c>
      <c r="E26" s="2">
        <v>545.46</v>
      </c>
      <c r="F26" t="s">
        <v>47</v>
      </c>
    </row>
    <row r="27" spans="1:6" x14ac:dyDescent="0.2">
      <c r="A27" t="s">
        <v>76</v>
      </c>
      <c r="B27" t="s">
        <v>53</v>
      </c>
      <c r="C27" t="s">
        <v>54</v>
      </c>
      <c r="D27" s="1">
        <v>45219</v>
      </c>
      <c r="E27" s="2">
        <v>1403.91</v>
      </c>
      <c r="F27" t="s">
        <v>60</v>
      </c>
    </row>
    <row r="28" spans="1:6" x14ac:dyDescent="0.2">
      <c r="A28" t="s">
        <v>29</v>
      </c>
      <c r="B28" t="s">
        <v>72</v>
      </c>
      <c r="C28" t="s">
        <v>73</v>
      </c>
      <c r="D28" s="1">
        <v>44766</v>
      </c>
      <c r="E28" s="2">
        <v>501.64</v>
      </c>
      <c r="F28" t="s">
        <v>50</v>
      </c>
    </row>
    <row r="29" spans="1:6" x14ac:dyDescent="0.2">
      <c r="A29" t="s">
        <v>18</v>
      </c>
      <c r="B29" t="s">
        <v>62</v>
      </c>
      <c r="C29" t="s">
        <v>63</v>
      </c>
      <c r="D29" s="1">
        <v>44945</v>
      </c>
      <c r="E29" s="2">
        <v>1246.58</v>
      </c>
      <c r="F29" t="s">
        <v>60</v>
      </c>
    </row>
    <row r="30" spans="1:6" x14ac:dyDescent="0.2">
      <c r="A30" t="s">
        <v>21</v>
      </c>
      <c r="B30" t="s">
        <v>53</v>
      </c>
      <c r="C30" t="s">
        <v>59</v>
      </c>
      <c r="D30" s="1">
        <v>44337</v>
      </c>
      <c r="E30" s="2">
        <v>1553.15</v>
      </c>
      <c r="F30" t="s">
        <v>60</v>
      </c>
    </row>
    <row r="31" spans="1:6" x14ac:dyDescent="0.2">
      <c r="A31" t="s">
        <v>30</v>
      </c>
      <c r="B31" t="s">
        <v>62</v>
      </c>
      <c r="C31" t="s">
        <v>63</v>
      </c>
      <c r="D31" s="1">
        <v>44647</v>
      </c>
      <c r="E31" s="2">
        <v>1629.76</v>
      </c>
      <c r="F31" t="s">
        <v>50</v>
      </c>
    </row>
    <row r="32" spans="1:6" x14ac:dyDescent="0.2">
      <c r="A32" t="s">
        <v>28</v>
      </c>
      <c r="B32" t="s">
        <v>53</v>
      </c>
      <c r="C32" t="s">
        <v>77</v>
      </c>
      <c r="D32" s="1">
        <v>45775</v>
      </c>
      <c r="E32" s="2">
        <v>1095.6199999999999</v>
      </c>
      <c r="F32" t="s">
        <v>50</v>
      </c>
    </row>
    <row r="33" spans="1:6" x14ac:dyDescent="0.2">
      <c r="A33" t="s">
        <v>35</v>
      </c>
      <c r="B33" t="s">
        <v>53</v>
      </c>
      <c r="C33" t="s">
        <v>59</v>
      </c>
      <c r="D33" s="1">
        <v>44876</v>
      </c>
      <c r="E33" s="2">
        <v>1801.36</v>
      </c>
      <c r="F33" t="s">
        <v>50</v>
      </c>
    </row>
    <row r="34" spans="1:6" x14ac:dyDescent="0.2">
      <c r="A34" t="s">
        <v>37</v>
      </c>
      <c r="B34" t="s">
        <v>62</v>
      </c>
      <c r="C34" t="s">
        <v>78</v>
      </c>
      <c r="D34" s="1">
        <v>44623</v>
      </c>
      <c r="E34" s="2">
        <v>1212.29</v>
      </c>
      <c r="F34" t="s">
        <v>47</v>
      </c>
    </row>
    <row r="35" spans="1:6" x14ac:dyDescent="0.2">
      <c r="A35" t="s">
        <v>79</v>
      </c>
      <c r="B35" t="s">
        <v>57</v>
      </c>
      <c r="C35" t="s">
        <v>58</v>
      </c>
      <c r="D35" s="1">
        <v>45552</v>
      </c>
      <c r="E35" s="2">
        <v>1746.67</v>
      </c>
      <c r="F35" t="s">
        <v>60</v>
      </c>
    </row>
    <row r="36" spans="1:6" x14ac:dyDescent="0.2">
      <c r="A36" t="s">
        <v>4</v>
      </c>
      <c r="B36" t="s">
        <v>62</v>
      </c>
      <c r="C36" t="s">
        <v>78</v>
      </c>
      <c r="D36" s="1">
        <v>45294</v>
      </c>
      <c r="E36" s="2">
        <v>644.54</v>
      </c>
      <c r="F36" t="s">
        <v>47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04FA-7E71-5B47-8214-02753D52F7FC}">
  <dimension ref="A1:D13"/>
  <sheetViews>
    <sheetView workbookViewId="0">
      <selection sqref="A1:A13"/>
    </sheetView>
  </sheetViews>
  <sheetFormatPr baseColWidth="10" defaultRowHeight="16" x14ac:dyDescent="0.2"/>
  <cols>
    <col min="1" max="1" width="15.33203125" style="8" bestFit="1" customWidth="1"/>
    <col min="2" max="2" width="31.5" bestFit="1" customWidth="1"/>
    <col min="3" max="3" width="11.5" bestFit="1" customWidth="1"/>
    <col min="4" max="4" width="10.6640625" bestFit="1" customWidth="1"/>
  </cols>
  <sheetData>
    <row r="1" spans="1:4" x14ac:dyDescent="0.2">
      <c r="A1" s="8" t="s">
        <v>1</v>
      </c>
      <c r="B1" t="s">
        <v>80</v>
      </c>
      <c r="C1" t="s">
        <v>81</v>
      </c>
      <c r="D1" t="s">
        <v>43</v>
      </c>
    </row>
    <row r="2" spans="1:4" x14ac:dyDescent="0.2">
      <c r="A2" s="8" t="s">
        <v>32</v>
      </c>
      <c r="B2" t="s">
        <v>82</v>
      </c>
      <c r="C2" t="s">
        <v>83</v>
      </c>
      <c r="D2" t="s">
        <v>47</v>
      </c>
    </row>
    <row r="3" spans="1:4" x14ac:dyDescent="0.2">
      <c r="A3" s="8" t="s">
        <v>22</v>
      </c>
      <c r="B3" t="s">
        <v>84</v>
      </c>
      <c r="C3" t="s">
        <v>83</v>
      </c>
      <c r="D3" t="s">
        <v>47</v>
      </c>
    </row>
    <row r="4" spans="1:4" x14ac:dyDescent="0.2">
      <c r="A4" s="8" t="s">
        <v>27</v>
      </c>
      <c r="B4" t="s">
        <v>85</v>
      </c>
      <c r="C4" t="s">
        <v>86</v>
      </c>
      <c r="D4" t="s">
        <v>60</v>
      </c>
    </row>
    <row r="5" spans="1:4" x14ac:dyDescent="0.2">
      <c r="A5" s="8" t="s">
        <v>19</v>
      </c>
      <c r="B5" t="s">
        <v>87</v>
      </c>
      <c r="C5" t="s">
        <v>88</v>
      </c>
      <c r="D5" t="s">
        <v>60</v>
      </c>
    </row>
    <row r="6" spans="1:4" x14ac:dyDescent="0.2">
      <c r="A6" s="8" t="s">
        <v>9</v>
      </c>
      <c r="B6" t="s">
        <v>89</v>
      </c>
      <c r="C6" t="s">
        <v>88</v>
      </c>
      <c r="D6" t="s">
        <v>47</v>
      </c>
    </row>
    <row r="7" spans="1:4" x14ac:dyDescent="0.2">
      <c r="A7" s="8" t="s">
        <v>23</v>
      </c>
      <c r="B7" t="s">
        <v>90</v>
      </c>
      <c r="C7" t="s">
        <v>88</v>
      </c>
      <c r="D7" t="s">
        <v>60</v>
      </c>
    </row>
    <row r="8" spans="1:4" x14ac:dyDescent="0.2">
      <c r="A8" s="8" t="s">
        <v>38</v>
      </c>
      <c r="B8" t="s">
        <v>91</v>
      </c>
      <c r="C8" t="s">
        <v>83</v>
      </c>
      <c r="D8" t="s">
        <v>47</v>
      </c>
    </row>
    <row r="9" spans="1:4" x14ac:dyDescent="0.2">
      <c r="A9" s="8" t="s">
        <v>7</v>
      </c>
      <c r="B9" t="s">
        <v>92</v>
      </c>
      <c r="C9" t="s">
        <v>83</v>
      </c>
      <c r="D9" t="s">
        <v>60</v>
      </c>
    </row>
    <row r="10" spans="1:4" x14ac:dyDescent="0.2">
      <c r="A10" s="8" t="s">
        <v>5</v>
      </c>
      <c r="B10" t="s">
        <v>93</v>
      </c>
      <c r="C10" t="s">
        <v>94</v>
      </c>
      <c r="D10" t="s">
        <v>60</v>
      </c>
    </row>
    <row r="11" spans="1:4" x14ac:dyDescent="0.2">
      <c r="A11" s="8" t="s">
        <v>11</v>
      </c>
      <c r="B11" t="s">
        <v>95</v>
      </c>
      <c r="C11" t="s">
        <v>83</v>
      </c>
      <c r="D11" t="s">
        <v>60</v>
      </c>
    </row>
    <row r="12" spans="1:4" x14ac:dyDescent="0.2">
      <c r="A12" s="8" t="s">
        <v>16</v>
      </c>
      <c r="B12" t="s">
        <v>96</v>
      </c>
      <c r="C12" t="s">
        <v>83</v>
      </c>
      <c r="D12" t="s">
        <v>60</v>
      </c>
    </row>
    <row r="13" spans="1:4" x14ac:dyDescent="0.2">
      <c r="A13" s="8" t="s">
        <v>13</v>
      </c>
      <c r="B13" t="s">
        <v>97</v>
      </c>
      <c r="C13" t="s">
        <v>83</v>
      </c>
      <c r="D13" t="s">
        <v>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DEFF-4939-1C4F-8879-2780C4DDA6EF}">
  <dimension ref="A3:E11"/>
  <sheetViews>
    <sheetView tabSelected="1" workbookViewId="0">
      <selection activeCell="N11" sqref="N11"/>
    </sheetView>
  </sheetViews>
  <sheetFormatPr baseColWidth="10" defaultRowHeight="16" x14ac:dyDescent="0.2"/>
  <cols>
    <col min="1" max="1" width="23.33203125" bestFit="1" customWidth="1"/>
    <col min="2" max="2" width="22.5" bestFit="1" customWidth="1"/>
    <col min="3" max="4" width="8.83203125" bestFit="1" customWidth="1"/>
    <col min="5" max="5" width="15" bestFit="1" customWidth="1"/>
  </cols>
  <sheetData>
    <row r="3" spans="1:5" x14ac:dyDescent="0.2">
      <c r="A3" s="13" t="s">
        <v>101</v>
      </c>
      <c r="B3" s="13" t="s">
        <v>102</v>
      </c>
    </row>
    <row r="4" spans="1:5" x14ac:dyDescent="0.2">
      <c r="A4" s="13" t="s">
        <v>99</v>
      </c>
      <c r="B4" t="s">
        <v>47</v>
      </c>
      <c r="C4" t="s">
        <v>60</v>
      </c>
      <c r="D4" t="s">
        <v>50</v>
      </c>
      <c r="E4" t="s">
        <v>100</v>
      </c>
    </row>
    <row r="5" spans="1:5" x14ac:dyDescent="0.2">
      <c r="A5" s="14" t="s">
        <v>62</v>
      </c>
      <c r="B5" s="11">
        <v>7</v>
      </c>
      <c r="C5" s="11">
        <v>3</v>
      </c>
      <c r="D5" s="11">
        <v>2</v>
      </c>
      <c r="E5" s="11">
        <v>12</v>
      </c>
    </row>
    <row r="6" spans="1:5" x14ac:dyDescent="0.2">
      <c r="A6" s="14" t="s">
        <v>55</v>
      </c>
      <c r="B6" s="11">
        <v>9</v>
      </c>
      <c r="C6" s="11">
        <v>2</v>
      </c>
      <c r="D6" s="11">
        <v>1</v>
      </c>
      <c r="E6" s="11">
        <v>12</v>
      </c>
    </row>
    <row r="7" spans="1:5" x14ac:dyDescent="0.2">
      <c r="A7" s="14" t="s">
        <v>53</v>
      </c>
      <c r="B7" s="11"/>
      <c r="C7" s="11">
        <v>4</v>
      </c>
      <c r="D7" s="11">
        <v>6</v>
      </c>
      <c r="E7" s="11">
        <v>10</v>
      </c>
    </row>
    <row r="8" spans="1:5" x14ac:dyDescent="0.2">
      <c r="A8" s="14" t="s">
        <v>72</v>
      </c>
      <c r="B8" s="11">
        <v>2</v>
      </c>
      <c r="C8" s="11"/>
      <c r="D8" s="11">
        <v>2</v>
      </c>
      <c r="E8" s="11">
        <v>4</v>
      </c>
    </row>
    <row r="9" spans="1:5" x14ac:dyDescent="0.2">
      <c r="A9" s="14" t="s">
        <v>57</v>
      </c>
      <c r="B9" s="11"/>
      <c r="C9" s="11"/>
      <c r="D9" s="11">
        <v>4</v>
      </c>
      <c r="E9" s="11">
        <v>4</v>
      </c>
    </row>
    <row r="10" spans="1:5" x14ac:dyDescent="0.2">
      <c r="A10" s="14" t="s">
        <v>45</v>
      </c>
      <c r="B10" s="11"/>
      <c r="C10" s="11">
        <v>2</v>
      </c>
      <c r="D10" s="11">
        <v>1</v>
      </c>
      <c r="E10" s="11">
        <v>3</v>
      </c>
    </row>
    <row r="11" spans="1:5" x14ac:dyDescent="0.2">
      <c r="A11" s="14" t="s">
        <v>100</v>
      </c>
      <c r="B11" s="11">
        <v>18</v>
      </c>
      <c r="C11" s="11">
        <v>11</v>
      </c>
      <c r="D11" s="11">
        <v>16</v>
      </c>
      <c r="E11" s="11">
        <v>45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24AA-7BEC-0A4F-ACDC-7D226F53D316}">
  <dimension ref="A1:L47"/>
  <sheetViews>
    <sheetView topLeftCell="A2" workbookViewId="0">
      <selection activeCell="L46" sqref="A2:L46"/>
    </sheetView>
  </sheetViews>
  <sheetFormatPr baseColWidth="10" defaultRowHeight="16" x14ac:dyDescent="0.2"/>
  <cols>
    <col min="1" max="1" width="16.33203125" bestFit="1" customWidth="1"/>
    <col min="2" max="2" width="15.33203125" style="9" bestFit="1" customWidth="1"/>
    <col min="3" max="3" width="13.83203125" style="1" bestFit="1" customWidth="1"/>
    <col min="4" max="4" width="14.83203125" style="1" bestFit="1" customWidth="1"/>
    <col min="5" max="5" width="18.33203125" customWidth="1"/>
    <col min="6" max="6" width="17.83203125" customWidth="1"/>
    <col min="7" max="7" width="16.83203125" style="1" customWidth="1"/>
    <col min="8" max="8" width="18.83203125" style="2" customWidth="1"/>
    <col min="9" max="9" width="15.83203125" customWidth="1"/>
    <col min="10" max="10" width="32.6640625" customWidth="1"/>
    <col min="11" max="11" width="25" customWidth="1"/>
    <col min="12" max="12" width="13.1640625" customWidth="1"/>
  </cols>
  <sheetData>
    <row r="1" spans="1:12" x14ac:dyDescent="0.2">
      <c r="A1" t="s">
        <v>0</v>
      </c>
      <c r="B1" s="9" t="s">
        <v>1</v>
      </c>
      <c r="C1" s="1" t="s">
        <v>2</v>
      </c>
      <c r="D1" s="1" t="s">
        <v>3</v>
      </c>
      <c r="E1" t="s">
        <v>39</v>
      </c>
      <c r="F1" t="s">
        <v>40</v>
      </c>
      <c r="G1" s="1" t="s">
        <v>41</v>
      </c>
      <c r="H1" s="2" t="s">
        <v>42</v>
      </c>
      <c r="I1" t="s">
        <v>43</v>
      </c>
      <c r="J1" t="s">
        <v>80</v>
      </c>
      <c r="K1" t="s">
        <v>81</v>
      </c>
      <c r="L1" t="s">
        <v>98</v>
      </c>
    </row>
    <row r="2" spans="1:12" x14ac:dyDescent="0.2">
      <c r="A2" t="s">
        <v>4</v>
      </c>
      <c r="B2" s="9">
        <v>1009</v>
      </c>
      <c r="C2" s="1">
        <v>45421</v>
      </c>
      <c r="E2" t="str">
        <f>VLOOKUP(A2,Geraete!A:F,2,FALSE)</f>
        <v>Beamer</v>
      </c>
      <c r="F2" t="str">
        <f>VLOOKUP(A2,Geraete!A:F,3,FALSE)</f>
        <v>BenQ MW550</v>
      </c>
      <c r="G2" s="1">
        <f>VLOOKUP(A2,Geraete!A:F,4,FALSE)</f>
        <v>45294</v>
      </c>
      <c r="H2" s="2">
        <f>VLOOKUP(A2,Geraete!A:F,5,FALSE)</f>
        <v>644.54</v>
      </c>
      <c r="I2" t="str">
        <f>VLOOKUP(A2,Geraete!A:F,6,FALSE)</f>
        <v>Berlin</v>
      </c>
      <c r="J2" s="11" t="str">
        <f>VLOOKUP(B2&amp;"",Mitarbeiter!$A:$D,2,FALSE)</f>
        <v>Univ.Prof. Heimo Karge</v>
      </c>
      <c r="K2" s="11" t="str">
        <f>VLOOKUP(B2&amp;"",Mitarbeiter!$A:$D,3,FALSE)</f>
        <v>Marketing</v>
      </c>
      <c r="L2" s="11" t="str">
        <f>VLOOKUP(B2&amp;"",Mitarbeiter!$A:$D,4,FALSE)</f>
        <v>Hamburg</v>
      </c>
    </row>
    <row r="3" spans="1:12" x14ac:dyDescent="0.2">
      <c r="A3" t="s">
        <v>6</v>
      </c>
      <c r="B3" s="9">
        <v>1008</v>
      </c>
      <c r="C3" s="1">
        <v>45930</v>
      </c>
      <c r="D3" s="1">
        <v>45935</v>
      </c>
      <c r="E3" t="str">
        <f>VLOOKUP(A3,Geraete!A:F,2,FALSE)</f>
        <v>Monitor</v>
      </c>
      <c r="F3" t="str">
        <f>VLOOKUP(A3,Geraete!A:F,3,FALSE)</f>
        <v>Samsung Curved</v>
      </c>
      <c r="G3" s="1">
        <f>VLOOKUP(A3,Geraete!A:F,4,FALSE)</f>
        <v>44979</v>
      </c>
      <c r="H3" s="2">
        <f>VLOOKUP(A3,Geraete!A:F,5,FALSE)</f>
        <v>1134.1600000000001</v>
      </c>
      <c r="I3" t="str">
        <f>VLOOKUP(A3,Geraete!A:F,6,FALSE)</f>
        <v>München</v>
      </c>
      <c r="J3" s="11" t="str">
        <f>VLOOKUP(B3&amp;"",Mitarbeiter!$A:$D,2,FALSE)</f>
        <v>Dipl.-Ing. Klaus-Werner Holsten B.Sc.</v>
      </c>
      <c r="K3" s="11" t="str">
        <f>VLOOKUP(B3&amp;"",Mitarbeiter!$A:$D,3,FALSE)</f>
        <v>IT</v>
      </c>
      <c r="L3" s="11" t="str">
        <f>VLOOKUP(B3&amp;"",Mitarbeiter!$A:$D,4,FALSE)</f>
        <v>Hamburg</v>
      </c>
    </row>
    <row r="4" spans="1:12" x14ac:dyDescent="0.2">
      <c r="A4" t="s">
        <v>8</v>
      </c>
      <c r="B4" s="9">
        <v>1005</v>
      </c>
      <c r="C4" s="1">
        <v>45743</v>
      </c>
      <c r="D4" s="1">
        <v>45868</v>
      </c>
      <c r="E4" t="str">
        <f>VLOOKUP(A4,Geraete!A:F,2,FALSE)</f>
        <v>Monitor</v>
      </c>
      <c r="F4" t="str">
        <f>VLOOKUP(A4,Geraete!A:F,3,FALSE)</f>
        <v>Dell UltraSharp</v>
      </c>
      <c r="G4" s="1">
        <f>VLOOKUP(A4,Geraete!A:F,4,FALSE)</f>
        <v>44621</v>
      </c>
      <c r="H4" s="2">
        <f>VLOOKUP(A4,Geraete!A:F,5,FALSE)</f>
        <v>750.91</v>
      </c>
      <c r="I4" t="str">
        <f>VLOOKUP(A4,Geraete!A:F,6,FALSE)</f>
        <v>Berlin</v>
      </c>
      <c r="J4" s="11" t="str">
        <f>VLOOKUP(B4&amp;"",Mitarbeiter!$A:$D,2,FALSE)</f>
        <v>Alexandre Davids</v>
      </c>
      <c r="K4" s="11" t="str">
        <f>VLOOKUP(B4&amp;"",Mitarbeiter!$A:$D,3,FALSE)</f>
        <v>Vertrieb</v>
      </c>
      <c r="L4" s="11" t="str">
        <f>VLOOKUP(B4&amp;"",Mitarbeiter!$A:$D,4,FALSE)</f>
        <v>Berlin</v>
      </c>
    </row>
    <row r="5" spans="1:12" x14ac:dyDescent="0.2">
      <c r="A5" t="s">
        <v>10</v>
      </c>
      <c r="B5" s="9">
        <v>1010</v>
      </c>
      <c r="C5" s="1">
        <v>45866</v>
      </c>
      <c r="E5" t="str">
        <f>VLOOKUP(A5,Geraete!A:F,2,FALSE)</f>
        <v>Drucker</v>
      </c>
      <c r="F5" t="str">
        <f>VLOOKUP(A5,Geraete!A:F,3,FALSE)</f>
        <v>Canon Pixma</v>
      </c>
      <c r="G5" s="1">
        <f>VLOOKUP(A5,Geraete!A:F,4,FALSE)</f>
        <v>45015</v>
      </c>
      <c r="H5" s="2">
        <f>VLOOKUP(A5,Geraete!A:F,5,FALSE)</f>
        <v>1501.06</v>
      </c>
      <c r="I5" t="str">
        <f>VLOOKUP(A5,Geraete!A:F,6,FALSE)</f>
        <v>Berlin</v>
      </c>
      <c r="J5" s="11" t="str">
        <f>VLOOKUP(B5&amp;"",Mitarbeiter!$A:$D,2,FALSE)</f>
        <v>Carolin Hande</v>
      </c>
      <c r="K5" s="11" t="str">
        <f>VLOOKUP(B5&amp;"",Mitarbeiter!$A:$D,3,FALSE)</f>
        <v>IT</v>
      </c>
      <c r="L5" s="11" t="str">
        <f>VLOOKUP(B5&amp;"",Mitarbeiter!$A:$D,4,FALSE)</f>
        <v>Hamburg</v>
      </c>
    </row>
    <row r="6" spans="1:12" x14ac:dyDescent="0.2">
      <c r="A6" t="s">
        <v>12</v>
      </c>
      <c r="B6" s="9">
        <v>1012</v>
      </c>
      <c r="C6" s="1">
        <v>45808</v>
      </c>
      <c r="D6" s="1">
        <v>45818</v>
      </c>
      <c r="E6" t="str">
        <f>VLOOKUP(A6,Geraete!A:F,2,FALSE)</f>
        <v>Smartphone</v>
      </c>
      <c r="F6" t="str">
        <f>VLOOKUP(A6,Geraete!A:F,3,FALSE)</f>
        <v>Samsung S21</v>
      </c>
      <c r="G6" s="1">
        <f>VLOOKUP(A6,Geraete!A:F,4,FALSE)</f>
        <v>45292</v>
      </c>
      <c r="H6" s="2">
        <f>VLOOKUP(A6,Geraete!A:F,5,FALSE)</f>
        <v>1257.96</v>
      </c>
      <c r="I6" t="str">
        <f>VLOOKUP(A6,Geraete!A:F,6,FALSE)</f>
        <v>München</v>
      </c>
      <c r="J6" s="11" t="str">
        <f>VLOOKUP(B6&amp;"",Mitarbeiter!$A:$D,2,FALSE)</f>
        <v>Ariane Klemt-Kaul</v>
      </c>
      <c r="K6" s="11" t="str">
        <f>VLOOKUP(B6&amp;"",Mitarbeiter!$A:$D,3,FALSE)</f>
        <v>IT</v>
      </c>
      <c r="L6" s="11" t="str">
        <f>VLOOKUP(B6&amp;"",Mitarbeiter!$A:$D,4,FALSE)</f>
        <v>München</v>
      </c>
    </row>
    <row r="7" spans="1:12" x14ac:dyDescent="0.2">
      <c r="A7" t="s">
        <v>14</v>
      </c>
      <c r="B7" s="9">
        <v>1009</v>
      </c>
      <c r="C7" s="1">
        <v>45389</v>
      </c>
      <c r="E7" t="str">
        <f>VLOOKUP(A7,Geraete!A:F,2,FALSE)</f>
        <v>Drucker</v>
      </c>
      <c r="F7" t="str">
        <f>VLOOKUP(A7,Geraete!A:F,3,FALSE)</f>
        <v>Canon Pixma</v>
      </c>
      <c r="G7" s="1">
        <f>VLOOKUP(A7,Geraete!A:F,4,FALSE)</f>
        <v>44503</v>
      </c>
      <c r="H7" s="2">
        <f>VLOOKUP(A7,Geraete!A:F,5,FALSE)</f>
        <v>823.23</v>
      </c>
      <c r="I7" t="str">
        <f>VLOOKUP(A7,Geraete!A:F,6,FALSE)</f>
        <v>Berlin</v>
      </c>
      <c r="J7" s="11" t="str">
        <f>VLOOKUP(B7&amp;"",Mitarbeiter!$A:$D,2,FALSE)</f>
        <v>Univ.Prof. Heimo Karge</v>
      </c>
      <c r="K7" s="11" t="str">
        <f>VLOOKUP(B7&amp;"",Mitarbeiter!$A:$D,3,FALSE)</f>
        <v>Marketing</v>
      </c>
      <c r="L7" s="11" t="str">
        <f>VLOOKUP(B7&amp;"",Mitarbeiter!$A:$D,4,FALSE)</f>
        <v>Hamburg</v>
      </c>
    </row>
    <row r="8" spans="1:12" x14ac:dyDescent="0.2">
      <c r="A8" s="5" t="s">
        <v>15</v>
      </c>
      <c r="B8" s="9">
        <v>1011</v>
      </c>
      <c r="C8" s="1">
        <v>45850</v>
      </c>
      <c r="D8" s="1">
        <v>45853</v>
      </c>
      <c r="E8" t="str">
        <f>VLOOKUP(A8,Geraete!A:F,2,FALSE)</f>
        <v>Laptop</v>
      </c>
      <c r="F8" t="str">
        <f>VLOOKUP(A8,Geraete!A:F,3,FALSE)</f>
        <v>Dell XPS</v>
      </c>
      <c r="G8" s="1">
        <f>VLOOKUP(A8,Geraete!A:F,4,FALSE)</f>
        <v>45026</v>
      </c>
      <c r="H8" s="2">
        <f>VLOOKUP(A8,Geraete!A:F,5,FALSE)</f>
        <v>1458.02</v>
      </c>
      <c r="I8" t="str">
        <f>VLOOKUP(A8,Geraete!A:F,6,FALSE)</f>
        <v>München</v>
      </c>
      <c r="J8" s="11" t="str">
        <f>VLOOKUP(B8&amp;"",Mitarbeiter!$A:$D,2,FALSE)</f>
        <v>Auguste Davids</v>
      </c>
      <c r="K8" s="11" t="str">
        <f>VLOOKUP(B8&amp;"",Mitarbeiter!$A:$D,3,FALSE)</f>
        <v>IT</v>
      </c>
      <c r="L8" s="11" t="str">
        <f>VLOOKUP(B8&amp;"",Mitarbeiter!$A:$D,4,FALSE)</f>
        <v>Hamburg</v>
      </c>
    </row>
    <row r="9" spans="1:12" x14ac:dyDescent="0.2">
      <c r="A9" t="s">
        <v>17</v>
      </c>
      <c r="B9" s="9">
        <v>1005</v>
      </c>
      <c r="C9" s="1">
        <v>45837</v>
      </c>
      <c r="D9" s="1">
        <v>45898</v>
      </c>
      <c r="E9" t="str">
        <f>VLOOKUP(A9,Geraete!A:F,2,FALSE)</f>
        <v>Drucker</v>
      </c>
      <c r="F9" t="str">
        <f>VLOOKUP(A9,Geraete!A:F,3,FALSE)</f>
        <v>Brother HL</v>
      </c>
      <c r="G9" s="1">
        <f>VLOOKUP(A9,Geraete!A:F,4,FALSE)</f>
        <v>45909</v>
      </c>
      <c r="H9" s="2">
        <f>VLOOKUP(A9,Geraete!A:F,5,FALSE)</f>
        <v>141.71</v>
      </c>
      <c r="I9" t="str">
        <f>VLOOKUP(A9,Geraete!A:F,6,FALSE)</f>
        <v>München</v>
      </c>
      <c r="J9" s="11" t="str">
        <f>VLOOKUP(B9&amp;"",Mitarbeiter!$A:$D,2,FALSE)</f>
        <v>Alexandre Davids</v>
      </c>
      <c r="K9" s="11" t="str">
        <f>VLOOKUP(B9&amp;"",Mitarbeiter!$A:$D,3,FALSE)</f>
        <v>Vertrieb</v>
      </c>
      <c r="L9" s="11" t="str">
        <f>VLOOKUP(B9&amp;"",Mitarbeiter!$A:$D,4,FALSE)</f>
        <v>Berlin</v>
      </c>
    </row>
    <row r="10" spans="1:12" x14ac:dyDescent="0.2">
      <c r="A10" t="s">
        <v>18</v>
      </c>
      <c r="B10" s="9">
        <v>1004</v>
      </c>
      <c r="C10" s="1">
        <v>45523</v>
      </c>
      <c r="E10" t="str">
        <f>VLOOKUP(A10,Geraete!A:F,2,FALSE)</f>
        <v>Beamer</v>
      </c>
      <c r="F10" t="str">
        <f>VLOOKUP(A10,Geraete!A:F,3,FALSE)</f>
        <v>Epson EB</v>
      </c>
      <c r="G10" s="1">
        <f>VLOOKUP(A10,Geraete!A:F,4,FALSE)</f>
        <v>44945</v>
      </c>
      <c r="H10" s="2">
        <f>VLOOKUP(A10,Geraete!A:F,5,FALSE)</f>
        <v>1246.58</v>
      </c>
      <c r="I10" t="str">
        <f>VLOOKUP(A10,Geraete!A:F,6,FALSE)</f>
        <v>Hamburg</v>
      </c>
      <c r="J10" s="11" t="str">
        <f>VLOOKUP(B10&amp;"",Mitarbeiter!$A:$D,2,FALSE)</f>
        <v>Klemens Löffler</v>
      </c>
      <c r="K10" s="11" t="str">
        <f>VLOOKUP(B10&amp;"",Mitarbeiter!$A:$D,3,FALSE)</f>
        <v>Vertrieb</v>
      </c>
      <c r="L10" s="11" t="str">
        <f>VLOOKUP(B10&amp;"",Mitarbeiter!$A:$D,4,FALSE)</f>
        <v>Hamburg</v>
      </c>
    </row>
    <row r="11" spans="1:12" x14ac:dyDescent="0.2">
      <c r="A11" t="s">
        <v>20</v>
      </c>
      <c r="B11" s="9">
        <v>1012</v>
      </c>
      <c r="C11" s="1">
        <v>45419</v>
      </c>
      <c r="D11" s="1">
        <v>45470</v>
      </c>
      <c r="E11" t="str">
        <f>VLOOKUP(A11,Geraete!A:F,2,FALSE)</f>
        <v>Drucker</v>
      </c>
      <c r="F11" t="str">
        <f>VLOOKUP(A11,Geraete!A:F,3,FALSE)</f>
        <v>Canon Pixma</v>
      </c>
      <c r="G11" s="1">
        <f>VLOOKUP(A11,Geraete!A:F,4,FALSE)</f>
        <v>44332</v>
      </c>
      <c r="H11" s="2">
        <f>VLOOKUP(A11,Geraete!A:F,5,FALSE)</f>
        <v>1898.65</v>
      </c>
      <c r="I11" t="str">
        <f>VLOOKUP(A11,Geraete!A:F,6,FALSE)</f>
        <v>Hamburg</v>
      </c>
      <c r="J11" s="11" t="str">
        <f>VLOOKUP(B11&amp;"",Mitarbeiter!$A:$D,2,FALSE)</f>
        <v>Ariane Klemt-Kaul</v>
      </c>
      <c r="K11" s="11" t="str">
        <f>VLOOKUP(B11&amp;"",Mitarbeiter!$A:$D,3,FALSE)</f>
        <v>IT</v>
      </c>
      <c r="L11" s="11" t="str">
        <f>VLOOKUP(B11&amp;"",Mitarbeiter!$A:$D,4,FALSE)</f>
        <v>München</v>
      </c>
    </row>
    <row r="12" spans="1:12" x14ac:dyDescent="0.2">
      <c r="A12" t="s">
        <v>8</v>
      </c>
      <c r="B12" s="9">
        <v>1008</v>
      </c>
      <c r="C12" s="1">
        <v>45375</v>
      </c>
      <c r="E12" t="str">
        <f>VLOOKUP(A12,Geraete!A:F,2,FALSE)</f>
        <v>Monitor</v>
      </c>
      <c r="F12" t="str">
        <f>VLOOKUP(A12,Geraete!A:F,3,FALSE)</f>
        <v>Dell UltraSharp</v>
      </c>
      <c r="G12" s="1">
        <f>VLOOKUP(A12,Geraete!A:F,4,FALSE)</f>
        <v>44621</v>
      </c>
      <c r="H12" s="2">
        <f>VLOOKUP(A12,Geraete!A:F,5,FALSE)</f>
        <v>750.91</v>
      </c>
      <c r="I12" t="str">
        <f>VLOOKUP(A12,Geraete!A:F,6,FALSE)</f>
        <v>Berlin</v>
      </c>
      <c r="J12" s="11" t="str">
        <f>VLOOKUP(B12&amp;"",Mitarbeiter!$A:$D,2,FALSE)</f>
        <v>Dipl.-Ing. Klaus-Werner Holsten B.Sc.</v>
      </c>
      <c r="K12" s="11" t="str">
        <f>VLOOKUP(B12&amp;"",Mitarbeiter!$A:$D,3,FALSE)</f>
        <v>IT</v>
      </c>
      <c r="L12" s="11" t="str">
        <f>VLOOKUP(B12&amp;"",Mitarbeiter!$A:$D,4,FALSE)</f>
        <v>Hamburg</v>
      </c>
    </row>
    <row r="13" spans="1:12" x14ac:dyDescent="0.2">
      <c r="A13" t="s">
        <v>21</v>
      </c>
      <c r="B13" s="9">
        <v>1002</v>
      </c>
      <c r="C13" s="1">
        <v>45921</v>
      </c>
      <c r="D13" s="1">
        <v>45934</v>
      </c>
      <c r="E13" t="str">
        <f>VLOOKUP(A13,Geraete!A:F,2,FALSE)</f>
        <v>Laptop</v>
      </c>
      <c r="F13" t="str">
        <f>VLOOKUP(A13,Geraete!A:F,3,FALSE)</f>
        <v>Lenovo ThinkPad</v>
      </c>
      <c r="G13" s="1">
        <f>VLOOKUP(A13,Geraete!A:F,4,FALSE)</f>
        <v>44337</v>
      </c>
      <c r="H13" s="2">
        <f>VLOOKUP(A13,Geraete!A:F,5,FALSE)</f>
        <v>1553.15</v>
      </c>
      <c r="I13" t="str">
        <f>VLOOKUP(A13,Geraete!A:F,6,FALSE)</f>
        <v>Hamburg</v>
      </c>
      <c r="J13" s="11" t="str">
        <f>VLOOKUP(B13&amp;"",Mitarbeiter!$A:$D,2,FALSE)</f>
        <v>Eleni Hauffer</v>
      </c>
      <c r="K13" s="11" t="str">
        <f>VLOOKUP(B13&amp;"",Mitarbeiter!$A:$D,3,FALSE)</f>
        <v>IT</v>
      </c>
      <c r="L13" s="11" t="str">
        <f>VLOOKUP(B13&amp;"",Mitarbeiter!$A:$D,4,FALSE)</f>
        <v>Berlin</v>
      </c>
    </row>
    <row r="14" spans="1:12" x14ac:dyDescent="0.2">
      <c r="A14" t="s">
        <v>14</v>
      </c>
      <c r="B14" s="9">
        <v>1006</v>
      </c>
      <c r="C14" s="1">
        <v>45892</v>
      </c>
      <c r="D14" s="1">
        <v>45922</v>
      </c>
      <c r="E14" t="str">
        <f>VLOOKUP(A14,Geraete!A:F,2,FALSE)</f>
        <v>Drucker</v>
      </c>
      <c r="F14" t="str">
        <f>VLOOKUP(A14,Geraete!A:F,3,FALSE)</f>
        <v>Canon Pixma</v>
      </c>
      <c r="G14" s="1">
        <f>VLOOKUP(A14,Geraete!A:F,4,FALSE)</f>
        <v>44503</v>
      </c>
      <c r="H14" s="2">
        <f>VLOOKUP(A14,Geraete!A:F,5,FALSE)</f>
        <v>823.23</v>
      </c>
      <c r="I14" t="str">
        <f>VLOOKUP(A14,Geraete!A:F,6,FALSE)</f>
        <v>Berlin</v>
      </c>
      <c r="J14" s="11" t="str">
        <f>VLOOKUP(B14&amp;"",Mitarbeiter!$A:$D,2,FALSE)</f>
        <v>Eric Patberg B.Sc.</v>
      </c>
      <c r="K14" s="11" t="str">
        <f>VLOOKUP(B14&amp;"",Mitarbeiter!$A:$D,3,FALSE)</f>
        <v>Vertrieb</v>
      </c>
      <c r="L14" s="11" t="str">
        <f>VLOOKUP(B14&amp;"",Mitarbeiter!$A:$D,4,FALSE)</f>
        <v>Hamburg</v>
      </c>
    </row>
    <row r="15" spans="1:12" x14ac:dyDescent="0.2">
      <c r="A15" t="s">
        <v>24</v>
      </c>
      <c r="B15" s="9">
        <v>1010</v>
      </c>
      <c r="C15" s="1">
        <v>45377</v>
      </c>
      <c r="D15" s="1">
        <v>45886</v>
      </c>
      <c r="E15" t="str">
        <f>VLOOKUP(A15,Geraete!A:F,2,FALSE)</f>
        <v>Smartphone</v>
      </c>
      <c r="F15" s="5" t="str">
        <f>VLOOKUP(A15,Geraete!A:F,3,FALSE)</f>
        <v>iPhone 13</v>
      </c>
      <c r="G15" s="1">
        <f>VLOOKUP(A15,Geraete!A:F,4,FALSE)</f>
        <v>44824</v>
      </c>
      <c r="H15" s="2">
        <f>VLOOKUP(A15,Geraete!A:F,5,FALSE)</f>
        <v>661.44</v>
      </c>
      <c r="I15" t="str">
        <f>VLOOKUP(A15,Geraete!A:F,6,FALSE)</f>
        <v>München</v>
      </c>
      <c r="J15" s="11" t="str">
        <f>VLOOKUP(B15&amp;"",Mitarbeiter!$A:$D,2,FALSE)</f>
        <v>Carolin Hande</v>
      </c>
      <c r="K15" s="11" t="str">
        <f>VLOOKUP(B15&amp;"",Mitarbeiter!$A:$D,3,FALSE)</f>
        <v>IT</v>
      </c>
      <c r="L15" s="11" t="str">
        <f>VLOOKUP(B15&amp;"",Mitarbeiter!$A:$D,4,FALSE)</f>
        <v>Hamburg</v>
      </c>
    </row>
    <row r="16" spans="1:12" x14ac:dyDescent="0.2">
      <c r="A16" t="s">
        <v>14</v>
      </c>
      <c r="B16" s="9">
        <v>1012</v>
      </c>
      <c r="C16" s="1">
        <v>45599</v>
      </c>
      <c r="E16" t="str">
        <f>VLOOKUP(A16,Geraete!A:F,2,FALSE)</f>
        <v>Drucker</v>
      </c>
      <c r="F16" t="str">
        <f>VLOOKUP(A16,Geraete!A:F,3,FALSE)</f>
        <v>Canon Pixma</v>
      </c>
      <c r="G16" s="1">
        <f>VLOOKUP(A16,Geraete!A:F,4,FALSE)</f>
        <v>44503</v>
      </c>
      <c r="H16" s="2">
        <f>VLOOKUP(A16,Geraete!A:F,5,FALSE)</f>
        <v>823.23</v>
      </c>
      <c r="I16" t="str">
        <f>VLOOKUP(A16,Geraete!A:F,6,FALSE)</f>
        <v>Berlin</v>
      </c>
      <c r="J16" s="11" t="str">
        <f>VLOOKUP(B16&amp;"",Mitarbeiter!$A:$D,2,FALSE)</f>
        <v>Ariane Klemt-Kaul</v>
      </c>
      <c r="K16" s="11" t="str">
        <f>VLOOKUP(B16&amp;"",Mitarbeiter!$A:$D,3,FALSE)</f>
        <v>IT</v>
      </c>
      <c r="L16" s="11" t="str">
        <f>VLOOKUP(B16&amp;"",Mitarbeiter!$A:$D,4,FALSE)</f>
        <v>München</v>
      </c>
    </row>
    <row r="17" spans="1:12" x14ac:dyDescent="0.2">
      <c r="A17" t="s">
        <v>24</v>
      </c>
      <c r="B17" s="9">
        <v>1002</v>
      </c>
      <c r="C17" s="1">
        <v>45519</v>
      </c>
      <c r="E17" t="str">
        <f>VLOOKUP(A17,Geraete!A:F,2,FALSE)</f>
        <v>Smartphone</v>
      </c>
      <c r="F17" t="str">
        <f>VLOOKUP(A17,Geraete!A:F,3,FALSE)</f>
        <v>iPhone 13</v>
      </c>
      <c r="G17" s="1">
        <f>VLOOKUP(A17,Geraete!A:F,4,FALSE)</f>
        <v>44824</v>
      </c>
      <c r="H17" s="2">
        <f>VLOOKUP(A17,Geraete!A:F,5,FALSE)</f>
        <v>661.44</v>
      </c>
      <c r="I17" t="str">
        <f>VLOOKUP(A17,Geraete!A:F,6,FALSE)</f>
        <v>München</v>
      </c>
      <c r="J17" s="11" t="str">
        <f>VLOOKUP(B17&amp;"",Mitarbeiter!$A:$D,2,FALSE)</f>
        <v>Eleni Hauffer</v>
      </c>
      <c r="K17" s="11" t="str">
        <f>VLOOKUP(B17&amp;"",Mitarbeiter!$A:$D,3,FALSE)</f>
        <v>IT</v>
      </c>
      <c r="L17" s="11" t="str">
        <f>VLOOKUP(B17&amp;"",Mitarbeiter!$A:$D,4,FALSE)</f>
        <v>Berlin</v>
      </c>
    </row>
    <row r="18" spans="1:12" x14ac:dyDescent="0.2">
      <c r="A18" t="s">
        <v>25</v>
      </c>
      <c r="B18" s="9">
        <v>1002</v>
      </c>
      <c r="C18" s="1">
        <v>45899</v>
      </c>
      <c r="D18" s="1">
        <v>45930</v>
      </c>
      <c r="E18" t="str">
        <f>VLOOKUP(A18,Geraete!A:F,2,FALSE)</f>
        <v>Tablet</v>
      </c>
      <c r="F18" t="str">
        <f>VLOOKUP(A18,Geraete!A:F,3,FALSE)</f>
        <v>iPad</v>
      </c>
      <c r="G18" s="1">
        <f>VLOOKUP(A18,Geraete!A:F,4,FALSE)</f>
        <v>45524</v>
      </c>
      <c r="H18" s="2">
        <f>VLOOKUP(A18,Geraete!A:F,5,FALSE)</f>
        <v>1591.98</v>
      </c>
      <c r="I18" t="str">
        <f>VLOOKUP(A18,Geraete!A:F,6,FALSE)</f>
        <v>Hamburg</v>
      </c>
      <c r="J18" s="11" t="str">
        <f>VLOOKUP(B18&amp;"",Mitarbeiter!$A:$D,2,FALSE)</f>
        <v>Eleni Hauffer</v>
      </c>
      <c r="K18" s="11" t="str">
        <f>VLOOKUP(B18&amp;"",Mitarbeiter!$A:$D,3,FALSE)</f>
        <v>IT</v>
      </c>
      <c r="L18" s="11" t="str">
        <f>VLOOKUP(B18&amp;"",Mitarbeiter!$A:$D,4,FALSE)</f>
        <v>Berlin</v>
      </c>
    </row>
    <row r="19" spans="1:12" x14ac:dyDescent="0.2">
      <c r="A19" t="s">
        <v>26</v>
      </c>
      <c r="B19" s="9">
        <v>1011</v>
      </c>
      <c r="C19" s="1">
        <v>45568</v>
      </c>
      <c r="D19" s="1">
        <v>45623</v>
      </c>
      <c r="E19" t="str">
        <f>VLOOKUP(A19,Geraete!A:F,2,FALSE)</f>
        <v>Tablet</v>
      </c>
      <c r="F19" t="str">
        <f>VLOOKUP(A19,Geraete!A:F,3,FALSE)</f>
        <v>iPad</v>
      </c>
      <c r="G19" s="1">
        <f>VLOOKUP(A19,Geraete!A:F,4,FALSE)</f>
        <v>44839</v>
      </c>
      <c r="H19" s="2">
        <f>VLOOKUP(A19,Geraete!A:F,5,FALSE)</f>
        <v>1688.07</v>
      </c>
      <c r="I19" t="str">
        <f>VLOOKUP(A19,Geraete!A:F,6,FALSE)</f>
        <v>München</v>
      </c>
      <c r="J19" s="11" t="str">
        <f>VLOOKUP(B19&amp;"",Mitarbeiter!$A:$D,2,FALSE)</f>
        <v>Auguste Davids</v>
      </c>
      <c r="K19" s="11" t="str">
        <f>VLOOKUP(B19&amp;"",Mitarbeiter!$A:$D,3,FALSE)</f>
        <v>IT</v>
      </c>
      <c r="L19" s="11" t="str">
        <f>VLOOKUP(B19&amp;"",Mitarbeiter!$A:$D,4,FALSE)</f>
        <v>Hamburg</v>
      </c>
    </row>
    <row r="20" spans="1:12" x14ac:dyDescent="0.2">
      <c r="A20" t="s">
        <v>4</v>
      </c>
      <c r="B20" s="9">
        <v>1003</v>
      </c>
      <c r="C20" s="1">
        <v>45417</v>
      </c>
      <c r="E20" t="str">
        <f>VLOOKUP(A20,Geraete!A:F,2,FALSE)</f>
        <v>Beamer</v>
      </c>
      <c r="F20" t="str">
        <f>VLOOKUP(A20,Geraete!A:F,3,FALSE)</f>
        <v>BenQ MW550</v>
      </c>
      <c r="G20" s="1">
        <f>VLOOKUP(A20,Geraete!A:F,4,FALSE)</f>
        <v>45294</v>
      </c>
      <c r="H20" s="2">
        <f>VLOOKUP(A20,Geraete!A:F,5,FALSE)</f>
        <v>644.54</v>
      </c>
      <c r="I20" t="str">
        <f>VLOOKUP(A20,Geraete!A:F,6,FALSE)</f>
        <v>Berlin</v>
      </c>
      <c r="J20" s="11" t="str">
        <f>VLOOKUP(B20&amp;"",Mitarbeiter!$A:$D,2,FALSE)</f>
        <v>Paul Dobes-Stiffel</v>
      </c>
      <c r="K20" s="11" t="str">
        <f>VLOOKUP(B20&amp;"",Mitarbeiter!$A:$D,3,FALSE)</f>
        <v>Produktion</v>
      </c>
      <c r="L20" s="11" t="str">
        <f>VLOOKUP(B20&amp;"",Mitarbeiter!$A:$D,4,FALSE)</f>
        <v>Hamburg</v>
      </c>
    </row>
    <row r="21" spans="1:12" x14ac:dyDescent="0.2">
      <c r="A21" s="3" t="s">
        <v>28</v>
      </c>
      <c r="B21" s="9">
        <v>1004</v>
      </c>
      <c r="C21" s="1">
        <v>45320</v>
      </c>
      <c r="E21" t="str">
        <f>VLOOKUP(A21,Geraete!A:F,2,FALSE)</f>
        <v>Laptop</v>
      </c>
      <c r="F21" t="str">
        <f>VLOOKUP(A21,Geraete!A:F,3,FALSE)</f>
        <v>HP EliteBook</v>
      </c>
      <c r="G21" s="1">
        <f>VLOOKUP(A21,Geraete!A:F,4,FALSE)</f>
        <v>45775</v>
      </c>
      <c r="H21" s="2">
        <f>VLOOKUP(A21,Geraete!A:F,5,FALSE)</f>
        <v>1095.6199999999999</v>
      </c>
      <c r="I21" t="str">
        <f>VLOOKUP(A21,Geraete!A:F,6,FALSE)</f>
        <v>München</v>
      </c>
      <c r="J21" s="11" t="str">
        <f>VLOOKUP(B21&amp;"",Mitarbeiter!$A:$D,2,FALSE)</f>
        <v>Klemens Löffler</v>
      </c>
      <c r="K21" s="11" t="str">
        <f>VLOOKUP(B21&amp;"",Mitarbeiter!$A:$D,3,FALSE)</f>
        <v>Vertrieb</v>
      </c>
      <c r="L21" s="11" t="str">
        <f>VLOOKUP(B21&amp;"",Mitarbeiter!$A:$D,4,FALSE)</f>
        <v>Hamburg</v>
      </c>
    </row>
    <row r="22" spans="1:12" x14ac:dyDescent="0.2">
      <c r="A22" t="s">
        <v>29</v>
      </c>
      <c r="B22" s="9">
        <v>1004</v>
      </c>
      <c r="C22" s="1">
        <v>45403</v>
      </c>
      <c r="D22" s="1">
        <v>45839</v>
      </c>
      <c r="E22" t="str">
        <f>VLOOKUP(A22,Geraete!A:F,2,FALSE)</f>
        <v>Monitor</v>
      </c>
      <c r="F22" t="str">
        <f>VLOOKUP(A22,Geraete!A:F,3,FALSE)</f>
        <v>Samsung Curved</v>
      </c>
      <c r="G22" s="1">
        <f>VLOOKUP(A22,Geraete!A:F,4,FALSE)</f>
        <v>44766</v>
      </c>
      <c r="H22" s="2">
        <f>VLOOKUP(A22,Geraete!A:F,5,FALSE)</f>
        <v>501.64</v>
      </c>
      <c r="I22" t="str">
        <f>VLOOKUP(A22,Geraete!A:F,6,FALSE)</f>
        <v>München</v>
      </c>
      <c r="J22" s="11" t="str">
        <f>VLOOKUP(B22&amp;"",Mitarbeiter!$A:$D,2,FALSE)</f>
        <v>Klemens Löffler</v>
      </c>
      <c r="K22" s="11" t="str">
        <f>VLOOKUP(B22&amp;"",Mitarbeiter!$A:$D,3,FALSE)</f>
        <v>Vertrieb</v>
      </c>
      <c r="L22" s="11" t="str">
        <f>VLOOKUP(B22&amp;"",Mitarbeiter!$A:$D,4,FALSE)</f>
        <v>Hamburg</v>
      </c>
    </row>
    <row r="23" spans="1:12" x14ac:dyDescent="0.2">
      <c r="A23" t="s">
        <v>18</v>
      </c>
      <c r="B23" s="9">
        <v>1006</v>
      </c>
      <c r="C23" s="1">
        <v>45630</v>
      </c>
      <c r="D23" s="1">
        <v>45732</v>
      </c>
      <c r="E23" t="str">
        <f>VLOOKUP(A23,Geraete!A:F,2,FALSE)</f>
        <v>Beamer</v>
      </c>
      <c r="F23" t="str">
        <f>VLOOKUP(A23,Geraete!A:F,3,FALSE)</f>
        <v>Epson EB</v>
      </c>
      <c r="G23" s="1">
        <f>VLOOKUP(A23,Geraete!A:F,4,FALSE)</f>
        <v>44945</v>
      </c>
      <c r="H23" s="2">
        <f>VLOOKUP(A23,Geraete!A:F,5,FALSE)</f>
        <v>1246.58</v>
      </c>
      <c r="I23" t="str">
        <f>VLOOKUP(A23,Geraete!A:F,6,FALSE)</f>
        <v>Hamburg</v>
      </c>
      <c r="J23" s="11" t="str">
        <f>VLOOKUP(B23&amp;"",Mitarbeiter!$A:$D,2,FALSE)</f>
        <v>Eric Patberg B.Sc.</v>
      </c>
      <c r="K23" s="11" t="str">
        <f>VLOOKUP(B23&amp;"",Mitarbeiter!$A:$D,3,FALSE)</f>
        <v>Vertrieb</v>
      </c>
      <c r="L23" s="11" t="str">
        <f>VLOOKUP(B23&amp;"",Mitarbeiter!$A:$D,4,FALSE)</f>
        <v>Hamburg</v>
      </c>
    </row>
    <row r="24" spans="1:12" x14ac:dyDescent="0.2">
      <c r="A24" t="s">
        <v>30</v>
      </c>
      <c r="B24" s="9">
        <v>1012</v>
      </c>
      <c r="C24" s="1">
        <v>45792</v>
      </c>
      <c r="D24" s="1">
        <v>45905</v>
      </c>
      <c r="E24" t="str">
        <f>VLOOKUP(A24,Geraete!A:F,2,FALSE)</f>
        <v>Beamer</v>
      </c>
      <c r="F24" t="str">
        <f>VLOOKUP(A24,Geraete!A:F,3,FALSE)</f>
        <v>Epson EB</v>
      </c>
      <c r="G24" s="1">
        <f>VLOOKUP(A24,Geraete!A:F,4,FALSE)</f>
        <v>44647</v>
      </c>
      <c r="H24" s="2">
        <f>VLOOKUP(A24,Geraete!A:F,5,FALSE)</f>
        <v>1629.76</v>
      </c>
      <c r="I24" t="str">
        <f>VLOOKUP(A24,Geraete!A:F,6,FALSE)</f>
        <v>München</v>
      </c>
      <c r="J24" s="11" t="str">
        <f>VLOOKUP(B24&amp;"",Mitarbeiter!$A:$D,2,FALSE)</f>
        <v>Ariane Klemt-Kaul</v>
      </c>
      <c r="K24" s="11" t="str">
        <f>VLOOKUP(B24&amp;"",Mitarbeiter!$A:$D,3,FALSE)</f>
        <v>IT</v>
      </c>
      <c r="L24" s="11" t="str">
        <f>VLOOKUP(B24&amp;"",Mitarbeiter!$A:$D,4,FALSE)</f>
        <v>München</v>
      </c>
    </row>
    <row r="25" spans="1:12" x14ac:dyDescent="0.2">
      <c r="A25" t="s">
        <v>31</v>
      </c>
      <c r="B25" s="9">
        <v>1001</v>
      </c>
      <c r="C25" s="1">
        <v>45544</v>
      </c>
      <c r="D25" s="1">
        <v>45854</v>
      </c>
      <c r="E25" t="str">
        <f>VLOOKUP(A25,Geraete!A:F,2,FALSE)</f>
        <v>Laptop</v>
      </c>
      <c r="F25" t="str">
        <f>VLOOKUP(A25,Geraete!A:F,3,FALSE)</f>
        <v>Lenovo ThinkPad</v>
      </c>
      <c r="G25" s="1">
        <f>VLOOKUP(A25,Geraete!A:F,4,FALSE)</f>
        <v>44360</v>
      </c>
      <c r="H25" s="2">
        <f>VLOOKUP(A25,Geraete!A:F,5,FALSE)</f>
        <v>869.09</v>
      </c>
      <c r="I25" t="str">
        <f>VLOOKUP(A25,Geraete!A:F,6,FALSE)</f>
        <v>Hamburg</v>
      </c>
      <c r="J25" s="11" t="str">
        <f>VLOOKUP(B25&amp;"",Mitarbeiter!$A:$D,2,FALSE)</f>
        <v>Aleksandr Weinhage</v>
      </c>
      <c r="K25" s="11" t="str">
        <f>VLOOKUP(B25&amp;"",Mitarbeiter!$A:$D,3,FALSE)</f>
        <v>IT</v>
      </c>
      <c r="L25" s="11" t="str">
        <f>VLOOKUP(B25&amp;"",Mitarbeiter!$A:$D,4,FALSE)</f>
        <v>Berlin</v>
      </c>
    </row>
    <row r="26" spans="1:12" x14ac:dyDescent="0.2">
      <c r="A26" t="s">
        <v>25</v>
      </c>
      <c r="B26" s="9">
        <v>1002</v>
      </c>
      <c r="C26" s="1">
        <v>45493</v>
      </c>
      <c r="D26" s="1">
        <v>45663</v>
      </c>
      <c r="E26" t="str">
        <f>VLOOKUP(A26,Geraete!A:F,2,FALSE)</f>
        <v>Tablet</v>
      </c>
      <c r="F26" t="str">
        <f>VLOOKUP(A26,Geraete!A:F,3,FALSE)</f>
        <v>iPad</v>
      </c>
      <c r="G26" s="1">
        <f>VLOOKUP(A26,Geraete!A:F,4,FALSE)</f>
        <v>45524</v>
      </c>
      <c r="H26" s="2">
        <f>VLOOKUP(A26,Geraete!A:F,5,FALSE)</f>
        <v>1591.98</v>
      </c>
      <c r="I26" t="str">
        <f>VLOOKUP(A26,Geraete!A:F,6,FALSE)</f>
        <v>Hamburg</v>
      </c>
      <c r="J26" s="11" t="str">
        <f>VLOOKUP(B26&amp;"",Mitarbeiter!$A:$D,2,FALSE)</f>
        <v>Eleni Hauffer</v>
      </c>
      <c r="K26" s="11" t="str">
        <f>VLOOKUP(B26&amp;"",Mitarbeiter!$A:$D,3,FALSE)</f>
        <v>IT</v>
      </c>
      <c r="L26" s="11" t="str">
        <f>VLOOKUP(B26&amp;"",Mitarbeiter!$A:$D,4,FALSE)</f>
        <v>Berlin</v>
      </c>
    </row>
    <row r="27" spans="1:12" x14ac:dyDescent="0.2">
      <c r="A27" t="s">
        <v>20</v>
      </c>
      <c r="B27" s="9">
        <v>1009</v>
      </c>
      <c r="C27" s="1">
        <v>45319</v>
      </c>
      <c r="D27" s="1">
        <v>45714</v>
      </c>
      <c r="E27" t="str">
        <f>VLOOKUP(A27,Geraete!A:F,2,FALSE)</f>
        <v>Drucker</v>
      </c>
      <c r="F27" t="str">
        <f>VLOOKUP(A27,Geraete!A:F,3,FALSE)</f>
        <v>Canon Pixma</v>
      </c>
      <c r="G27" s="1">
        <f>VLOOKUP(A27,Geraete!A:F,4,FALSE)</f>
        <v>44332</v>
      </c>
      <c r="H27" s="2">
        <f>VLOOKUP(A27,Geraete!A:F,5,FALSE)</f>
        <v>1898.65</v>
      </c>
      <c r="I27" t="str">
        <f>VLOOKUP(A27,Geraete!A:F,6,FALSE)</f>
        <v>Hamburg</v>
      </c>
      <c r="J27" s="11" t="str">
        <f>VLOOKUP(B27&amp;"",Mitarbeiter!$A:$D,2,FALSE)</f>
        <v>Univ.Prof. Heimo Karge</v>
      </c>
      <c r="K27" s="11" t="str">
        <f>VLOOKUP(B27&amp;"",Mitarbeiter!$A:$D,3,FALSE)</f>
        <v>Marketing</v>
      </c>
      <c r="L27" s="11" t="str">
        <f>VLOOKUP(B27&amp;"",Mitarbeiter!$A:$D,4,FALSE)</f>
        <v>Hamburg</v>
      </c>
    </row>
    <row r="28" spans="1:12" x14ac:dyDescent="0.2">
      <c r="A28" t="s">
        <v>18</v>
      </c>
      <c r="B28" s="9">
        <v>1003</v>
      </c>
      <c r="C28" s="1">
        <v>45595</v>
      </c>
      <c r="D28" s="1">
        <v>45630</v>
      </c>
      <c r="E28" t="str">
        <f>VLOOKUP(A28,Geraete!A:F,2,FALSE)</f>
        <v>Beamer</v>
      </c>
      <c r="F28" t="str">
        <f>VLOOKUP(A28,Geraete!A:F,3,FALSE)</f>
        <v>Epson EB</v>
      </c>
      <c r="G28" s="1">
        <f>VLOOKUP(A28,Geraete!A:F,4,FALSE)</f>
        <v>44945</v>
      </c>
      <c r="H28" s="2">
        <f>VLOOKUP(A28,Geraete!A:F,5,FALSE)</f>
        <v>1246.58</v>
      </c>
      <c r="I28" t="str">
        <f>VLOOKUP(A28,Geraete!A:F,6,FALSE)</f>
        <v>Hamburg</v>
      </c>
      <c r="J28" s="11" t="str">
        <f>VLOOKUP(B28&amp;"",Mitarbeiter!$A:$D,2,FALSE)</f>
        <v>Paul Dobes-Stiffel</v>
      </c>
      <c r="K28" s="11" t="str">
        <f>VLOOKUP(B28&amp;"",Mitarbeiter!$A:$D,3,FALSE)</f>
        <v>Produktion</v>
      </c>
      <c r="L28" s="11" t="str">
        <f>VLOOKUP(B28&amp;"",Mitarbeiter!$A:$D,4,FALSE)</f>
        <v>Hamburg</v>
      </c>
    </row>
    <row r="29" spans="1:12" x14ac:dyDescent="0.2">
      <c r="A29" s="7" t="s">
        <v>10</v>
      </c>
      <c r="B29" s="9">
        <v>1002</v>
      </c>
      <c r="C29" s="1">
        <v>45799</v>
      </c>
      <c r="D29" s="1">
        <v>45808</v>
      </c>
      <c r="E29" t="str">
        <f>VLOOKUP(A29,Geraete!A:F,2,FALSE)</f>
        <v>Drucker</v>
      </c>
      <c r="F29" t="str">
        <f>VLOOKUP(A29,Geraete!A:F,3,FALSE)</f>
        <v>Canon Pixma</v>
      </c>
      <c r="G29" s="1">
        <f>VLOOKUP(A29,Geraete!A:F,4,FALSE)</f>
        <v>45015</v>
      </c>
      <c r="H29" s="2">
        <f>VLOOKUP(A29,Geraete!A:F,5,FALSE)</f>
        <v>1501.06</v>
      </c>
      <c r="I29" t="str">
        <f>VLOOKUP(A29,Geraete!A:F,6,FALSE)</f>
        <v>Berlin</v>
      </c>
      <c r="J29" s="11" t="str">
        <f>VLOOKUP(B29&amp;"",Mitarbeiter!$A:$D,2,FALSE)</f>
        <v>Eleni Hauffer</v>
      </c>
      <c r="K29" s="11" t="str">
        <f>VLOOKUP(B29&amp;"",Mitarbeiter!$A:$D,3,FALSE)</f>
        <v>IT</v>
      </c>
      <c r="L29" s="11" t="str">
        <f>VLOOKUP(B29&amp;"",Mitarbeiter!$A:$D,4,FALSE)</f>
        <v>Berlin</v>
      </c>
    </row>
    <row r="30" spans="1:12" x14ac:dyDescent="0.2">
      <c r="A30" t="s">
        <v>31</v>
      </c>
      <c r="B30" s="9">
        <v>1001</v>
      </c>
      <c r="C30" s="1">
        <v>45880</v>
      </c>
      <c r="E30" t="str">
        <f>VLOOKUP(A30,Geraete!A:F,2,FALSE)</f>
        <v>Laptop</v>
      </c>
      <c r="F30" t="str">
        <f>VLOOKUP(A30,Geraete!A:F,3,FALSE)</f>
        <v>Lenovo ThinkPad</v>
      </c>
      <c r="G30" s="1">
        <f>VLOOKUP(A30,Geraete!A:F,4,FALSE)</f>
        <v>44360</v>
      </c>
      <c r="H30" s="2">
        <f>VLOOKUP(A30,Geraete!A:F,5,FALSE)</f>
        <v>869.09</v>
      </c>
      <c r="I30" t="str">
        <f>VLOOKUP(A30,Geraete!A:F,6,FALSE)</f>
        <v>Hamburg</v>
      </c>
      <c r="J30" s="11" t="str">
        <f>VLOOKUP(B30&amp;"",Mitarbeiter!$A:$D,2,FALSE)</f>
        <v>Aleksandr Weinhage</v>
      </c>
      <c r="K30" s="11" t="str">
        <f>VLOOKUP(B30&amp;"",Mitarbeiter!$A:$D,3,FALSE)</f>
        <v>IT</v>
      </c>
      <c r="L30" s="11" t="str">
        <f>VLOOKUP(B30&amp;"",Mitarbeiter!$A:$D,4,FALSE)</f>
        <v>Berlin</v>
      </c>
    </row>
    <row r="31" spans="1:12" x14ac:dyDescent="0.2">
      <c r="A31" t="s">
        <v>4</v>
      </c>
      <c r="B31" s="9">
        <v>1001</v>
      </c>
      <c r="C31" s="1">
        <v>45297</v>
      </c>
      <c r="E31" t="str">
        <f>VLOOKUP(A31,Geraete!A:F,2,FALSE)</f>
        <v>Beamer</v>
      </c>
      <c r="F31" t="str">
        <f>VLOOKUP(A31,Geraete!A:F,3,FALSE)</f>
        <v>BenQ MW550</v>
      </c>
      <c r="G31" s="1">
        <f>VLOOKUP(A31,Geraete!A:F,4,FALSE)</f>
        <v>45294</v>
      </c>
      <c r="H31" s="2">
        <f>VLOOKUP(A31,Geraete!A:F,5,FALSE)</f>
        <v>644.54</v>
      </c>
      <c r="I31" t="str">
        <f>VLOOKUP(A31,Geraete!A:F,6,FALSE)</f>
        <v>Berlin</v>
      </c>
      <c r="J31" s="11" t="str">
        <f>VLOOKUP(B31&amp;"",Mitarbeiter!$A:$D,2,FALSE)</f>
        <v>Aleksandr Weinhage</v>
      </c>
      <c r="K31" s="11" t="str">
        <f>VLOOKUP(B31&amp;"",Mitarbeiter!$A:$D,3,FALSE)</f>
        <v>IT</v>
      </c>
      <c r="L31" s="11" t="str">
        <f>VLOOKUP(B31&amp;"",Mitarbeiter!$A:$D,4,FALSE)</f>
        <v>Berlin</v>
      </c>
    </row>
    <row r="32" spans="1:12" x14ac:dyDescent="0.2">
      <c r="A32" s="7" t="s">
        <v>10</v>
      </c>
      <c r="B32" s="9">
        <v>1003</v>
      </c>
      <c r="C32" s="1">
        <v>45330</v>
      </c>
      <c r="D32" s="1">
        <v>45817</v>
      </c>
      <c r="E32" t="str">
        <f>VLOOKUP(A32,Geraete!A:F,2,FALSE)</f>
        <v>Drucker</v>
      </c>
      <c r="F32" t="str">
        <f>VLOOKUP(A32,Geraete!A:F,3,FALSE)</f>
        <v>Canon Pixma</v>
      </c>
      <c r="G32" s="1">
        <f>VLOOKUP(A32,Geraete!A:F,4,FALSE)</f>
        <v>45015</v>
      </c>
      <c r="H32" s="2">
        <f>VLOOKUP(A32,Geraete!A:F,5,FALSE)</f>
        <v>1501.06</v>
      </c>
      <c r="I32" t="str">
        <f>VLOOKUP(A32,Geraete!A:F,6,FALSE)</f>
        <v>Berlin</v>
      </c>
      <c r="J32" s="11" t="str">
        <f>VLOOKUP(B32&amp;"",Mitarbeiter!$A:$D,2,FALSE)</f>
        <v>Paul Dobes-Stiffel</v>
      </c>
      <c r="K32" s="11" t="str">
        <f>VLOOKUP(B32&amp;"",Mitarbeiter!$A:$D,3,FALSE)</f>
        <v>Produktion</v>
      </c>
      <c r="L32" s="11" t="str">
        <f>VLOOKUP(B32&amp;"",Mitarbeiter!$A:$D,4,FALSE)</f>
        <v>Hamburg</v>
      </c>
    </row>
    <row r="33" spans="1:12" x14ac:dyDescent="0.2">
      <c r="A33" s="12" t="s">
        <v>28</v>
      </c>
      <c r="B33" s="9">
        <v>1004</v>
      </c>
      <c r="C33" s="1">
        <v>45336</v>
      </c>
      <c r="E33" t="str">
        <f>VLOOKUP(A33,Geraete!A:F,2,FALSE)</f>
        <v>Laptop</v>
      </c>
      <c r="F33" t="str">
        <f>VLOOKUP(A33,Geraete!A:F,3,FALSE)</f>
        <v>HP EliteBook</v>
      </c>
      <c r="G33" s="1">
        <f>VLOOKUP(A33,Geraete!A:F,4,FALSE)</f>
        <v>45775</v>
      </c>
      <c r="H33" s="2">
        <f>VLOOKUP(A33,Geraete!A:F,5,FALSE)</f>
        <v>1095.6199999999999</v>
      </c>
      <c r="I33" t="str">
        <f>VLOOKUP(A33,Geraete!A:F,6,FALSE)</f>
        <v>München</v>
      </c>
      <c r="J33" s="11" t="str">
        <f>VLOOKUP(B33&amp;"",Mitarbeiter!$A:$D,2,FALSE)</f>
        <v>Klemens Löffler</v>
      </c>
      <c r="K33" s="11" t="str">
        <f>VLOOKUP(B33&amp;"",Mitarbeiter!$A:$D,3,FALSE)</f>
        <v>Vertrieb</v>
      </c>
      <c r="L33" s="11" t="str">
        <f>VLOOKUP(B33&amp;"",Mitarbeiter!$A:$D,4,FALSE)</f>
        <v>Hamburg</v>
      </c>
    </row>
    <row r="34" spans="1:12" x14ac:dyDescent="0.2">
      <c r="A34" s="6" t="s">
        <v>33</v>
      </c>
      <c r="B34" s="9">
        <v>1003</v>
      </c>
      <c r="C34" s="1">
        <v>45827</v>
      </c>
      <c r="D34" s="1">
        <v>45908</v>
      </c>
      <c r="E34" t="str">
        <f>VLOOKUP(A34,Geraete!A:F,2,FALSE)</f>
        <v>Laptop</v>
      </c>
      <c r="F34" t="str">
        <f>VLOOKUP(A34,Geraete!A:F,3,FALSE)</f>
        <v>Dell XPS</v>
      </c>
      <c r="G34" s="1">
        <f>VLOOKUP(A34,Geraete!A:F,4,FALSE)</f>
        <v>45782</v>
      </c>
      <c r="H34" s="2">
        <f>VLOOKUP(A34,Geraete!A:F,5,FALSE)</f>
        <v>1007.88</v>
      </c>
      <c r="I34" t="str">
        <f>VLOOKUP(A34,Geraete!A:F,6,FALSE)</f>
        <v>München</v>
      </c>
      <c r="J34" s="11" t="str">
        <f>VLOOKUP(B34&amp;"",Mitarbeiter!$A:$D,2,FALSE)</f>
        <v>Paul Dobes-Stiffel</v>
      </c>
      <c r="K34" s="11" t="str">
        <f>VLOOKUP(B34&amp;"",Mitarbeiter!$A:$D,3,FALSE)</f>
        <v>Produktion</v>
      </c>
      <c r="L34" s="11" t="str">
        <f>VLOOKUP(B34&amp;"",Mitarbeiter!$A:$D,4,FALSE)</f>
        <v>Hamburg</v>
      </c>
    </row>
    <row r="35" spans="1:12" x14ac:dyDescent="0.2">
      <c r="A35" t="s">
        <v>34</v>
      </c>
      <c r="B35" s="9">
        <v>1005</v>
      </c>
      <c r="C35" s="1">
        <v>45675</v>
      </c>
      <c r="E35" t="str">
        <f>VLOOKUP(A35,Geraete!A:F,2,FALSE)</f>
        <v>Beamer</v>
      </c>
      <c r="F35" t="str">
        <f>VLOOKUP(A35,Geraete!A:F,3,FALSE)</f>
        <v>Epson EB</v>
      </c>
      <c r="G35" s="1">
        <f>VLOOKUP(A35,Geraete!A:F,4,FALSE)</f>
        <v>45266</v>
      </c>
      <c r="H35" s="2">
        <f>VLOOKUP(A35,Geraete!A:F,5,FALSE)</f>
        <v>545.46</v>
      </c>
      <c r="I35" t="str">
        <f>VLOOKUP(A35,Geraete!A:F,6,FALSE)</f>
        <v>Berlin</v>
      </c>
      <c r="J35" s="11" t="str">
        <f>VLOOKUP(B35&amp;"",Mitarbeiter!$A:$D,2,FALSE)</f>
        <v>Alexandre Davids</v>
      </c>
      <c r="K35" s="11" t="str">
        <f>VLOOKUP(B35&amp;"",Mitarbeiter!$A:$D,3,FALSE)</f>
        <v>Vertrieb</v>
      </c>
      <c r="L35" s="11" t="str">
        <f>VLOOKUP(B35&amp;"",Mitarbeiter!$A:$D,4,FALSE)</f>
        <v>Berlin</v>
      </c>
    </row>
    <row r="36" spans="1:12" x14ac:dyDescent="0.2">
      <c r="A36" t="s">
        <v>30</v>
      </c>
      <c r="B36" s="9">
        <v>1005</v>
      </c>
      <c r="C36" s="1">
        <v>45261</v>
      </c>
      <c r="D36" s="1">
        <v>45559</v>
      </c>
      <c r="E36" t="str">
        <f>VLOOKUP(A36,Geraete!A:F,2,FALSE)</f>
        <v>Beamer</v>
      </c>
      <c r="F36" t="str">
        <f>VLOOKUP(A36,Geraete!A:F,3,FALSE)</f>
        <v>Epson EB</v>
      </c>
      <c r="G36" s="1">
        <f>VLOOKUP(A36,Geraete!A:F,4,FALSE)</f>
        <v>44647</v>
      </c>
      <c r="H36" s="2">
        <f>VLOOKUP(A36,Geraete!A:F,5,FALSE)</f>
        <v>1629.76</v>
      </c>
      <c r="I36" t="str">
        <f>VLOOKUP(A36,Geraete!A:F,6,FALSE)</f>
        <v>München</v>
      </c>
      <c r="J36" s="11" t="str">
        <f>VLOOKUP(B36&amp;"",Mitarbeiter!$A:$D,2,FALSE)</f>
        <v>Alexandre Davids</v>
      </c>
      <c r="K36" s="11" t="str">
        <f>VLOOKUP(B36&amp;"",Mitarbeiter!$A:$D,3,FALSE)</f>
        <v>Vertrieb</v>
      </c>
      <c r="L36" s="11" t="str">
        <f>VLOOKUP(B36&amp;"",Mitarbeiter!$A:$D,4,FALSE)</f>
        <v>Berlin</v>
      </c>
    </row>
    <row r="37" spans="1:12" x14ac:dyDescent="0.2">
      <c r="A37" t="s">
        <v>35</v>
      </c>
      <c r="B37" s="9">
        <v>1003</v>
      </c>
      <c r="C37" s="1">
        <v>45508</v>
      </c>
      <c r="D37" s="1">
        <v>45871</v>
      </c>
      <c r="E37" t="str">
        <f>VLOOKUP(A37,Geraete!A:F,2,FALSE)</f>
        <v>Laptop</v>
      </c>
      <c r="F37" t="str">
        <f>VLOOKUP(A37,Geraete!A:F,3,FALSE)</f>
        <v>Lenovo ThinkPad</v>
      </c>
      <c r="G37" s="1">
        <f>VLOOKUP(A37,Geraete!A:F,4,FALSE)</f>
        <v>44876</v>
      </c>
      <c r="H37" s="2">
        <f>VLOOKUP(A37,Geraete!A:F,5,FALSE)</f>
        <v>1801.36</v>
      </c>
      <c r="I37" t="str">
        <f>VLOOKUP(A37,Geraete!A:F,6,FALSE)</f>
        <v>München</v>
      </c>
      <c r="J37" s="11" t="str">
        <f>VLOOKUP(B37&amp;"",Mitarbeiter!$A:$D,2,FALSE)</f>
        <v>Paul Dobes-Stiffel</v>
      </c>
      <c r="K37" s="11" t="str">
        <f>VLOOKUP(B37&amp;"",Mitarbeiter!$A:$D,3,FALSE)</f>
        <v>Produktion</v>
      </c>
      <c r="L37" s="11" t="str">
        <f>VLOOKUP(B37&amp;"",Mitarbeiter!$A:$D,4,FALSE)</f>
        <v>Hamburg</v>
      </c>
    </row>
    <row r="38" spans="1:12" x14ac:dyDescent="0.2">
      <c r="A38" t="s">
        <v>36</v>
      </c>
      <c r="B38" s="9">
        <v>1001</v>
      </c>
      <c r="C38" s="1">
        <v>45622</v>
      </c>
      <c r="D38" s="1">
        <v>45719</v>
      </c>
      <c r="E38" t="str">
        <f>VLOOKUP(A38,Geraete!A:F,2,FALSE)</f>
        <v>Laptop</v>
      </c>
      <c r="F38" t="str">
        <f>VLOOKUP(A38,Geraete!A:F,3,FALSE)</f>
        <v>Lenovo ThinkPad</v>
      </c>
      <c r="G38" s="1">
        <f>VLOOKUP(A38,Geraete!A:F,4,FALSE)</f>
        <v>44258</v>
      </c>
      <c r="H38" s="2">
        <f>VLOOKUP(A38,Geraete!A:F,5,FALSE)</f>
        <v>1415.97</v>
      </c>
      <c r="I38" t="str">
        <f>VLOOKUP(A38,Geraete!A:F,6,FALSE)</f>
        <v>Hamburg</v>
      </c>
      <c r="J38" s="11" t="str">
        <f>VLOOKUP(B38&amp;"",Mitarbeiter!$A:$D,2,FALSE)</f>
        <v>Aleksandr Weinhage</v>
      </c>
      <c r="K38" s="11" t="str">
        <f>VLOOKUP(B38&amp;"",Mitarbeiter!$A:$D,3,FALSE)</f>
        <v>IT</v>
      </c>
      <c r="L38" s="11" t="str">
        <f>VLOOKUP(B38&amp;"",Mitarbeiter!$A:$D,4,FALSE)</f>
        <v>Berlin</v>
      </c>
    </row>
    <row r="39" spans="1:12" x14ac:dyDescent="0.2">
      <c r="A39" t="s">
        <v>4</v>
      </c>
      <c r="B39" s="9">
        <v>1001</v>
      </c>
      <c r="C39" s="1">
        <v>45641</v>
      </c>
      <c r="E39" t="str">
        <f>VLOOKUP(A39,Geraete!A:F,2,FALSE)</f>
        <v>Beamer</v>
      </c>
      <c r="F39" t="str">
        <f>VLOOKUP(A39,Geraete!A:F,3,FALSE)</f>
        <v>BenQ MW550</v>
      </c>
      <c r="G39" s="1">
        <f>VLOOKUP(A39,Geraete!A:F,4,FALSE)</f>
        <v>45294</v>
      </c>
      <c r="H39" s="2">
        <f>VLOOKUP(A39,Geraete!A:F,5,FALSE)</f>
        <v>644.54</v>
      </c>
      <c r="I39" t="str">
        <f>VLOOKUP(A39,Geraete!A:F,6,FALSE)</f>
        <v>Berlin</v>
      </c>
      <c r="J39" s="11" t="str">
        <f>VLOOKUP(B39&amp;"",Mitarbeiter!$A:$D,2,FALSE)</f>
        <v>Aleksandr Weinhage</v>
      </c>
      <c r="K39" s="11" t="str">
        <f>VLOOKUP(B39&amp;"",Mitarbeiter!$A:$D,3,FALSE)</f>
        <v>IT</v>
      </c>
      <c r="L39" s="11" t="str">
        <f>VLOOKUP(B39&amp;"",Mitarbeiter!$A:$D,4,FALSE)</f>
        <v>Berlin</v>
      </c>
    </row>
    <row r="40" spans="1:12" x14ac:dyDescent="0.2">
      <c r="A40" s="6" t="s">
        <v>33</v>
      </c>
      <c r="B40" s="9">
        <v>1001</v>
      </c>
      <c r="C40" s="1">
        <v>45880</v>
      </c>
      <c r="D40" s="1">
        <v>45881</v>
      </c>
      <c r="E40" t="str">
        <f>VLOOKUP(A40,Geraete!A:F,2,FALSE)</f>
        <v>Laptop</v>
      </c>
      <c r="F40" t="str">
        <f>VLOOKUP(A40,Geraete!A:F,3,FALSE)</f>
        <v>Dell XPS</v>
      </c>
      <c r="G40" s="1">
        <f>VLOOKUP(A40,Geraete!A:F,4,FALSE)</f>
        <v>45782</v>
      </c>
      <c r="H40" s="2">
        <f>VLOOKUP(A40,Geraete!A:F,5,FALSE)</f>
        <v>1007.88</v>
      </c>
      <c r="I40" t="str">
        <f>VLOOKUP(A40,Geraete!A:F,6,FALSE)</f>
        <v>München</v>
      </c>
      <c r="J40" s="11" t="str">
        <f>VLOOKUP(B40&amp;"",Mitarbeiter!$A:$D,2,FALSE)</f>
        <v>Aleksandr Weinhage</v>
      </c>
      <c r="K40" s="11" t="str">
        <f>VLOOKUP(B40&amp;"",Mitarbeiter!$A:$D,3,FALSE)</f>
        <v>IT</v>
      </c>
      <c r="L40" s="11" t="str">
        <f>VLOOKUP(B40&amp;"",Mitarbeiter!$A:$D,4,FALSE)</f>
        <v>Berlin</v>
      </c>
    </row>
    <row r="41" spans="1:12" x14ac:dyDescent="0.2">
      <c r="A41" t="s">
        <v>37</v>
      </c>
      <c r="B41" s="9">
        <v>1009</v>
      </c>
      <c r="C41" s="1">
        <v>45740</v>
      </c>
      <c r="D41" s="1">
        <v>45784</v>
      </c>
      <c r="E41" t="str">
        <f>VLOOKUP(A41,Geraete!A:F,2,FALSE)</f>
        <v>Beamer</v>
      </c>
      <c r="F41" t="str">
        <f>VLOOKUP(A41,Geraete!A:F,3,FALSE)</f>
        <v>BenQ MW550</v>
      </c>
      <c r="G41" s="1">
        <f>VLOOKUP(A41,Geraete!A:F,4,FALSE)</f>
        <v>44623</v>
      </c>
      <c r="H41" s="2">
        <f>VLOOKUP(A41,Geraete!A:F,5,FALSE)</f>
        <v>1212.29</v>
      </c>
      <c r="I41" t="str">
        <f>VLOOKUP(A41,Geraete!A:F,6,FALSE)</f>
        <v>Berlin</v>
      </c>
      <c r="J41" s="11" t="str">
        <f>VLOOKUP(B41&amp;"",Mitarbeiter!$A:$D,2,FALSE)</f>
        <v>Univ.Prof. Heimo Karge</v>
      </c>
      <c r="K41" s="11" t="str">
        <f>VLOOKUP(B41&amp;"",Mitarbeiter!$A:$D,3,FALSE)</f>
        <v>Marketing</v>
      </c>
      <c r="L41" s="11" t="str">
        <f>VLOOKUP(B41&amp;"",Mitarbeiter!$A:$D,4,FALSE)</f>
        <v>Hamburg</v>
      </c>
    </row>
    <row r="42" spans="1:12" x14ac:dyDescent="0.2">
      <c r="A42" t="s">
        <v>37</v>
      </c>
      <c r="B42" s="9">
        <v>1002</v>
      </c>
      <c r="C42" s="1">
        <v>45741</v>
      </c>
      <c r="E42" t="str">
        <f>VLOOKUP(A42,Geraete!A:F,2,FALSE)</f>
        <v>Beamer</v>
      </c>
      <c r="F42" t="str">
        <f>VLOOKUP(A42,Geraete!A:F,3,FALSE)</f>
        <v>BenQ MW550</v>
      </c>
      <c r="G42" s="1">
        <f>VLOOKUP(A42,Geraete!A:F,4,FALSE)</f>
        <v>44623</v>
      </c>
      <c r="H42" s="2">
        <f>VLOOKUP(A42,Geraete!A:F,5,FALSE)</f>
        <v>1212.29</v>
      </c>
      <c r="I42" t="str">
        <f>VLOOKUP(A42,Geraete!A:F,6,FALSE)</f>
        <v>Berlin</v>
      </c>
      <c r="J42" s="11" t="str">
        <f>VLOOKUP(B42&amp;"",Mitarbeiter!$A:$D,2,FALSE)</f>
        <v>Eleni Hauffer</v>
      </c>
      <c r="K42" s="11" t="str">
        <f>VLOOKUP(B42&amp;"",Mitarbeiter!$A:$D,3,FALSE)</f>
        <v>IT</v>
      </c>
      <c r="L42" s="11" t="str">
        <f>VLOOKUP(B42&amp;"",Mitarbeiter!$A:$D,4,FALSE)</f>
        <v>Berlin</v>
      </c>
    </row>
    <row r="43" spans="1:12" x14ac:dyDescent="0.2">
      <c r="A43" t="s">
        <v>14</v>
      </c>
      <c r="B43" s="9">
        <v>1010</v>
      </c>
      <c r="C43" s="1">
        <v>45899</v>
      </c>
      <c r="D43" s="1">
        <v>45925</v>
      </c>
      <c r="E43" t="str">
        <f>VLOOKUP(A43,Geraete!A:F,2,FALSE)</f>
        <v>Drucker</v>
      </c>
      <c r="F43" t="str">
        <f>VLOOKUP(A43,Geraete!A:F,3,FALSE)</f>
        <v>Canon Pixma</v>
      </c>
      <c r="G43" s="1">
        <f>VLOOKUP(A43,Geraete!A:F,4,FALSE)</f>
        <v>44503</v>
      </c>
      <c r="H43" s="2">
        <f>VLOOKUP(A43,Geraete!A:F,5,FALSE)</f>
        <v>823.23</v>
      </c>
      <c r="I43" t="str">
        <f>VLOOKUP(A43,Geraete!A:F,6,FALSE)</f>
        <v>Berlin</v>
      </c>
      <c r="J43" s="11" t="str">
        <f>VLOOKUP(B43&amp;"",Mitarbeiter!$A:$D,2,FALSE)</f>
        <v>Carolin Hande</v>
      </c>
      <c r="K43" s="11" t="str">
        <f>VLOOKUP(B43&amp;"",Mitarbeiter!$A:$D,3,FALSE)</f>
        <v>IT</v>
      </c>
      <c r="L43" s="11" t="str">
        <f>VLOOKUP(B43&amp;"",Mitarbeiter!$A:$D,4,FALSE)</f>
        <v>Hamburg</v>
      </c>
    </row>
    <row r="44" spans="1:12" x14ac:dyDescent="0.2">
      <c r="A44" s="7" t="s">
        <v>10</v>
      </c>
      <c r="B44" s="9">
        <v>1007</v>
      </c>
      <c r="C44" s="1">
        <v>45795</v>
      </c>
      <c r="D44" s="1">
        <v>45846</v>
      </c>
      <c r="E44" t="str">
        <f>VLOOKUP(A44,Geraete!A:F,2,FALSE)</f>
        <v>Drucker</v>
      </c>
      <c r="F44" t="str">
        <f>VLOOKUP(A44,Geraete!A:F,3,FALSE)</f>
        <v>Canon Pixma</v>
      </c>
      <c r="G44" s="1">
        <f>VLOOKUP(A44,Geraete!A:F,4,FALSE)</f>
        <v>45015</v>
      </c>
      <c r="H44" s="2">
        <f>VLOOKUP(A44,Geraete!A:F,5,FALSE)</f>
        <v>1501.06</v>
      </c>
      <c r="I44" t="str">
        <f>VLOOKUP(A44,Geraete!A:F,6,FALSE)</f>
        <v>Berlin</v>
      </c>
      <c r="J44" s="11" t="str">
        <f>VLOOKUP(B44&amp;"",Mitarbeiter!$A:$D,2,FALSE)</f>
        <v>Orhan Siering MBA.</v>
      </c>
      <c r="K44" s="11" t="str">
        <f>VLOOKUP(B44&amp;"",Mitarbeiter!$A:$D,3,FALSE)</f>
        <v>IT</v>
      </c>
      <c r="L44" s="11" t="str">
        <f>VLOOKUP(B44&amp;"",Mitarbeiter!$A:$D,4,FALSE)</f>
        <v>Berlin</v>
      </c>
    </row>
    <row r="45" spans="1:12" x14ac:dyDescent="0.2">
      <c r="A45" s="7" t="s">
        <v>10</v>
      </c>
      <c r="B45" s="9">
        <v>1010</v>
      </c>
      <c r="C45" s="1">
        <v>45808</v>
      </c>
      <c r="D45" s="1">
        <v>45932</v>
      </c>
      <c r="E45" t="str">
        <f>VLOOKUP(A45,Geraete!A:F,2,FALSE)</f>
        <v>Drucker</v>
      </c>
      <c r="F45" t="str">
        <f>VLOOKUP(A45,Geraete!A:F,3,FALSE)</f>
        <v>Canon Pixma</v>
      </c>
      <c r="G45" s="1">
        <f>VLOOKUP(A45,Geraete!A:F,4,FALSE)</f>
        <v>45015</v>
      </c>
      <c r="H45" s="2">
        <f>VLOOKUP(A45,Geraete!A:F,5,FALSE)</f>
        <v>1501.06</v>
      </c>
      <c r="I45" t="str">
        <f>VLOOKUP(A45,Geraete!A:F,6,FALSE)</f>
        <v>Berlin</v>
      </c>
      <c r="J45" s="11" t="str">
        <f>VLOOKUP(B45&amp;"",Mitarbeiter!$A:$D,2,FALSE)</f>
        <v>Carolin Hande</v>
      </c>
      <c r="K45" s="11" t="str">
        <f>VLOOKUP(B45&amp;"",Mitarbeiter!$A:$D,3,FALSE)</f>
        <v>IT</v>
      </c>
      <c r="L45" s="11" t="str">
        <f>VLOOKUP(B45&amp;"",Mitarbeiter!$A:$D,4,FALSE)</f>
        <v>Hamburg</v>
      </c>
    </row>
    <row r="46" spans="1:12" x14ac:dyDescent="0.2">
      <c r="A46" t="s">
        <v>12</v>
      </c>
      <c r="B46" s="9">
        <v>1007</v>
      </c>
      <c r="C46" s="1">
        <v>45476</v>
      </c>
      <c r="E46" t="str">
        <f>VLOOKUP(A46,Geraete!A:F,2,FALSE)</f>
        <v>Smartphone</v>
      </c>
      <c r="F46" t="str">
        <f>VLOOKUP(A46,Geraete!A:F,3,FALSE)</f>
        <v>Samsung S21</v>
      </c>
      <c r="G46" s="1">
        <f>VLOOKUP(A46,Geraete!A:F,4,FALSE)</f>
        <v>45292</v>
      </c>
      <c r="H46" s="2">
        <f>VLOOKUP(A46,Geraete!A:F,5,FALSE)</f>
        <v>1257.96</v>
      </c>
      <c r="I46" t="str">
        <f>VLOOKUP(A46,Geraete!A:F,6,FALSE)</f>
        <v>München</v>
      </c>
      <c r="J46" s="11" t="str">
        <f>VLOOKUP(B46&amp;"",Mitarbeiter!$A:$D,2,FALSE)</f>
        <v>Orhan Siering MBA.</v>
      </c>
      <c r="K46" s="11" t="str">
        <f>VLOOKUP(B46&amp;"",Mitarbeiter!$A:$D,3,FALSE)</f>
        <v>IT</v>
      </c>
      <c r="L46" s="11" t="str">
        <f>VLOOKUP(B46&amp;"",Mitarbeiter!$A:$D,4,FALSE)</f>
        <v>Berlin</v>
      </c>
    </row>
    <row r="47" spans="1:12" x14ac:dyDescent="0.2">
      <c r="A47" s="11"/>
      <c r="E47" s="11"/>
      <c r="F47" s="11"/>
      <c r="I47" s="11"/>
      <c r="J47" s="11"/>
      <c r="K47" s="11"/>
      <c r="L47" s="11"/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F53EC-F13F-8840-8663-81AE5A5B9F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Ausleihen</vt:lpstr>
      <vt:lpstr>Geraete</vt:lpstr>
      <vt:lpstr>Mitarbeiter</vt:lpstr>
      <vt:lpstr>PivotTable</vt:lpstr>
      <vt:lpstr>Gesamt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Rabenschlag</dc:creator>
  <cp:lastModifiedBy>Noel Rabenschlag</cp:lastModifiedBy>
  <dcterms:created xsi:type="dcterms:W3CDTF">2026-03-21T08:43:28Z</dcterms:created>
  <dcterms:modified xsi:type="dcterms:W3CDTF">2026-03-21T13:36:00Z</dcterms:modified>
</cp:coreProperties>
</file>